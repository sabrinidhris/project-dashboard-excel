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ENOVO\Documents\New Folder\"/>
    </mc:Choice>
  </mc:AlternateContent>
  <xr:revisionPtr revIDLastSave="0" documentId="8_{868F8CF7-D7AB-4701-A0CD-DEA34D1C9D59}" xr6:coauthVersionLast="47" xr6:coauthVersionMax="47" xr10:uidLastSave="{00000000-0000-0000-0000-000000000000}"/>
  <bookViews>
    <workbookView xWindow="-108" yWindow="-108" windowWidth="23256" windowHeight="12456" activeTab="4" xr2:uid="{47E4B37A-A26C-47CC-A796-EEDFF6C79227}"/>
  </bookViews>
  <sheets>
    <sheet name="Sheet5" sheetId="5" r:id="rId1"/>
    <sheet name="Sheet4" sheetId="4" r:id="rId2"/>
    <sheet name="Sheet3" sheetId="3" r:id="rId3"/>
    <sheet name="Sheet1" sheetId="1" r:id="rId4"/>
    <sheet name="Dashboard" sheetId="7" r:id="rId5"/>
    <sheet name="Sheet2" sheetId="2" r:id="rId6"/>
  </sheets>
  <definedNames>
    <definedName name="_xlcn.WorksheetConnection_Book1projectdata1" hidden="1">projectdata[]</definedName>
    <definedName name="_xlnm.Print_Area" localSheetId="4">Dashboard!$A$1:$W$36</definedName>
    <definedName name="Slicer_Month">#N/A</definedName>
    <definedName name="Slicer_Priority">#N/A</definedName>
    <definedName name="Slicer_Project_Manager">#N/A</definedName>
    <definedName name="Slicer_Project_Type">#N/A</definedName>
    <definedName name="Slicer_Status">#N/A</definedName>
    <definedName name="Slicer_Year">#N/A</definedName>
  </definedNames>
  <calcPr calcId="191029"/>
  <pivotCaches>
    <pivotCache cacheId="4" r:id="rId7"/>
    <pivotCache cacheId="5" r:id="rId8"/>
    <pivotCache cacheId="6" r:id="rId9"/>
    <pivotCache cacheId="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data" name="projectdata" connection="WorksheetConnection_Book1!projectdata"/>
        </x15:modelTables>
        <x15:extLst>
          <ext xmlns:x16="http://schemas.microsoft.com/office/spreadsheetml/2014/11/main" uri="{9835A34E-60A6-4A7C-AAB8-D5F71C897F49}">
            <x16:modelTimeGroupings>
              <x16:modelTimeGrouping tableName="projectdata" columnName="count of project" columnId="count of project">
                <x16:calculatedTimeColumn columnName="count of project (Month Index)" columnId="count of project (Month Index)" contentType="monthsindex" isSelected="1"/>
                <x16:calculatedTimeColumn columnName="count of project (Month)" columnId="count of project (Month)" contentType="months" isSelected="1"/>
              </x16:modelTimeGrouping>
              <x16:modelTimeGrouping tableName="projectdata" columnName="Start date" columnId="Start date">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74" i="1" l="1"/>
  <c r="E74"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C74" i="1"/>
  <c r="D7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Hossam Khalil</author>
  </authors>
  <commentList>
    <comment ref="P1" authorId="0" shapeId="0" xr:uid="{D4A12128-CDC7-4816-90EF-1EF622A5A062}">
      <text>
        <r>
          <rPr>
            <sz val="16"/>
            <color rgb="FF000000"/>
            <rFont val="Aptos Narrow"/>
            <family val="2"/>
            <scheme val="minor"/>
          </rPr>
          <t>Full-time equivalent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BD2DA-D4F3-4311-803A-D261E6D5F0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3FBCC5-8968-4A08-BC8C-74D37CE3B267}" name="WorksheetConnection_Book1!projectdata" type="102" refreshedVersion="8" minRefreshableVersion="5">
    <extLst>
      <ext xmlns:x15="http://schemas.microsoft.com/office/spreadsheetml/2010/11/main" uri="{DE250136-89BD-433C-8126-D09CA5730AF9}">
        <x15:connection id="projectdata" autoDelete="1">
          <x15:rangePr sourceName="_xlcn.WorksheetConnection_Book1projectdata1"/>
        </x15:connection>
      </ext>
    </extLst>
  </connection>
</connections>
</file>

<file path=xl/sharedStrings.xml><?xml version="1.0" encoding="utf-8"?>
<sst xmlns="http://schemas.openxmlformats.org/spreadsheetml/2006/main" count="1020" uniqueCount="355">
  <si>
    <t>Year</t>
  </si>
  <si>
    <t>Month</t>
  </si>
  <si>
    <t>Project ID Number</t>
  </si>
  <si>
    <t>Project Name</t>
  </si>
  <si>
    <t>Status</t>
  </si>
  <si>
    <t>Project Value</t>
  </si>
  <si>
    <t>Project Descriptions</t>
  </si>
  <si>
    <t>Project Type</t>
  </si>
  <si>
    <t>Substatus</t>
  </si>
  <si>
    <t>Project Manager</t>
  </si>
  <si>
    <t>Developers</t>
  </si>
  <si>
    <t>Business Analyst</t>
  </si>
  <si>
    <t>Next Action</t>
  </si>
  <si>
    <t>ITQA</t>
  </si>
  <si>
    <t>FTE Savings</t>
  </si>
  <si>
    <t>Working Hours</t>
  </si>
  <si>
    <t>Start date</t>
  </si>
  <si>
    <t>Dev Start Date</t>
  </si>
  <si>
    <t>Internal Testing Date</t>
  </si>
  <si>
    <t>Target Client Testing Date</t>
  </si>
  <si>
    <t>Actual ACC Deployment Date</t>
  </si>
  <si>
    <t>Target Deployment Date</t>
  </si>
  <si>
    <t>Actual Deployment Date</t>
  </si>
  <si>
    <t>Manager Comments</t>
  </si>
  <si>
    <t>Jul</t>
  </si>
  <si>
    <t>The Experienced dude Static Startup 8</t>
  </si>
  <si>
    <t>Not Active</t>
  </si>
  <si>
    <t>The Social Experiment Coding League Center for Creative Coding The Network Linkage, Inc.</t>
  </si>
  <si>
    <t>Operations</t>
  </si>
  <si>
    <t>Normal</t>
  </si>
  <si>
    <t>Completed</t>
  </si>
  <si>
    <t>Jean Zac</t>
  </si>
  <si>
    <t>Ahmed Daz</t>
  </si>
  <si>
    <t>Scot Bridgeton</t>
  </si>
  <si>
    <t>Mary Frittle</t>
  </si>
  <si>
    <t>QA Tester 3</t>
  </si>
  <si>
    <t xml:space="preserve">The Domain of Work Wombat Annual Award Show The Successful Project Software ChasersThe Domain of Work Wombat Annual Award Show The Successful Project Software ChasersImpact Training  The Network Excalibur Training </t>
  </si>
  <si>
    <t>Jan</t>
  </si>
  <si>
    <t>The Art of Codes The Coding Master</t>
  </si>
  <si>
    <t>Active</t>
  </si>
  <si>
    <t>Mentee to Mentor Mo-Money Masterclass The GFI with Codes Active Achievement Impact Training</t>
  </si>
  <si>
    <t>Fast Path</t>
  </si>
  <si>
    <t>New</t>
  </si>
  <si>
    <t>Ali Adam</t>
  </si>
  <si>
    <t xml:space="preserve"> Gerland Singh</t>
  </si>
  <si>
    <t>Matthew Krillen</t>
  </si>
  <si>
    <t>QA Tester 2</t>
  </si>
  <si>
    <t>Coding Region The Principal of Change The Coding Expert Mentee to Mentor Mo-Money MasterclassCoding Region The Principal of Change The Coding Expert Mentee to Mentor Mo-Money MasterclassActive Achievement Impact Training Code Change Group Excel and Elevate Training Excalibur Training</t>
  </si>
  <si>
    <t>Apr</t>
  </si>
  <si>
    <t>The Experienced dude Static Startup 12</t>
  </si>
  <si>
    <t>Security</t>
  </si>
  <si>
    <t>Suzan Mike</t>
  </si>
  <si>
    <t>Daniel Francis</t>
  </si>
  <si>
    <t>Jean Coombs</t>
  </si>
  <si>
    <t>Project Explained Code Change Group Box of Crayons The Social Experiment Coding LeagueProject Explained Code Change Group Box of Crayons The Social Experiment Coding LeagueThe Network Linkage, Inc. Enter Coding Town Hall Meeting Switch and Swift</t>
  </si>
  <si>
    <t>Dec</t>
  </si>
  <si>
    <t>The Experienced dude Static Startup 18</t>
  </si>
  <si>
    <t>Town Hall Meeting Switch and Swift Fast Coding Coding Region The Principal of Change</t>
  </si>
  <si>
    <t>Testing - Client</t>
  </si>
  <si>
    <t>The Network Linkage, Inc. Enter Coding Town Hall Meeting Switch and SwiftThe Network Linkage, Inc. Enter Coding Town Hall Meeting Switch and SwiftCoding Region The Principal of Change The Coding Expert Mentee to Mentor Mo-Money Masterclass</t>
  </si>
  <si>
    <t>Jun</t>
  </si>
  <si>
    <t>Wide Stringer White Feather</t>
  </si>
  <si>
    <t>The Experienced dude Static Startup The Art of Codes</t>
  </si>
  <si>
    <t>Resource Assignment</t>
  </si>
  <si>
    <t>Eddy Verly</t>
  </si>
  <si>
    <t>Bobby Guillman</t>
  </si>
  <si>
    <t xml:space="preserve">Mentee to Mentor Mo-Money Masterclass Town Hall Meeting Active Achievement Impact TrainingMentee to Mentor Mo-Money Masterclass Town Hall Meeting Active Achievement Impact TrainingJava Dalia  The Successful Project Static Startup </t>
  </si>
  <si>
    <t>Nov</t>
  </si>
  <si>
    <t>The GFI with Codes The Coding Expert</t>
  </si>
  <si>
    <t>Social Geek Made Box of Crayons Moving Bird Made by Me Center for Creative Coding</t>
  </si>
  <si>
    <t>High</t>
  </si>
  <si>
    <t>Mei Lee</t>
  </si>
  <si>
    <t>Eddy Vertil</t>
  </si>
  <si>
    <t>QA Tester 9</t>
  </si>
  <si>
    <t>The Blue Bird The Experienced dude Search Engine Bandits In Recognition of Codes Social Geek Made Box of CrayonsThe Blue Bird The Experienced dude Search Engine Bandits In Recognition of Codes Social Geek Made Box of CrayonsMade by Me Center for Creative Coding The Blue Bird The Discovery of Era Enter Coding</t>
  </si>
  <si>
    <t>Sep</t>
  </si>
  <si>
    <t>New Workers Excel and Elevate Training</t>
  </si>
  <si>
    <t>Fast &amp; Creative Gang Gob Geeklords The Domain of Work The Coding Master Celestial Interface</t>
  </si>
  <si>
    <t>Operations - Global</t>
  </si>
  <si>
    <t>Testing - Ops</t>
  </si>
  <si>
    <t>Whittney Huttson</t>
  </si>
  <si>
    <t>Alison Cookadee</t>
  </si>
  <si>
    <t>The Successful Project Software Chasers 7th Annual Workshop Fast &amp; Creative Gang Gob GeeklordsThe Successful Project Software Chasers 7th Annual Workshop Fast &amp; Creative Gang Gob GeeklordsThe Coding Master Celestial Interface The Successful Project The Art of Codes Open Source Pundits</t>
  </si>
  <si>
    <t>The Experienced dude Static Startup 6</t>
  </si>
  <si>
    <t>The Network Linkage, Inc. Enter Coding Town Hall Meeting Switch and Swift</t>
  </si>
  <si>
    <t>Scheduled for Deployment</t>
  </si>
  <si>
    <t>Project Management</t>
  </si>
  <si>
    <t xml:space="preserve">Annual Award Show White Feather A Salute to New Workers 7th Annual Workshop Wide StringerAnnual Award Show White Feather A Salute to New Workers 7th Annual Workshop Wide StringerExcalibur Training  Town Hall Meeting Robust Routine </t>
  </si>
  <si>
    <t>Feb</t>
  </si>
  <si>
    <t>The Experienced dude Static Startup 5</t>
  </si>
  <si>
    <t>The Coding Master Celestial Interface Debug Entity The Art of Codes Open Source Pundits</t>
  </si>
  <si>
    <t>Research</t>
  </si>
  <si>
    <t>Jesse Brenderman</t>
  </si>
  <si>
    <t>Match of Health Debug Entity Excel and Elevate Training Annual Award Show White FeatherMatch of Health Debug Entity Excel and Elevate Training Annual Award Show White FeatherThe Network Linkage, Inc. Enter Coding Town Hall Meeting Switch and Swift</t>
  </si>
  <si>
    <t>Mar</t>
  </si>
  <si>
    <t>The Experienced dude Static Startup 13</t>
  </si>
  <si>
    <t>The Social Experiment Coding League The Success The Network Linkage, Inc.</t>
  </si>
  <si>
    <t>Client</t>
  </si>
  <si>
    <t>Requirements</t>
  </si>
  <si>
    <t>Dany Jr.</t>
  </si>
  <si>
    <t>Project Explained Code Change Group Meetup for the Good The Social Experiment Coding LeagueProject Explained Code Change Group Meetup for the Good The Social Experiment Coding LeagueThe Network Linkage, Inc. Project Explained Town Hall Meeting Switch and Swift</t>
  </si>
  <si>
    <t>The Experienced dude Static Startup 9</t>
  </si>
  <si>
    <t xml:space="preserve">Impact Training  The Network Excalibur Training </t>
  </si>
  <si>
    <t>IT</t>
  </si>
  <si>
    <t>The Successful Project Software Chasers 7th Annual Workshop Fast &amp; Creative Gang Gob GeeklordsThe Successful Project Software Chasers 7th Annual Workshop Fast &amp; Creative Gang Gob GeeklordsThe Experienced dude Static Startup Wombat Box of Crayons Indie Profilers</t>
  </si>
  <si>
    <t>Fast &amp; Creative Gang The Successful Project</t>
  </si>
  <si>
    <t>Meetup for the Good The Coding Expert Charged by Codes The Success The GFI with Codes</t>
  </si>
  <si>
    <t>Remembering Our Ancestors Fast Coding The Art of Codes Meetup for the Good The Coding ExpertRemembering Our Ancestors Fast Coding The Art of Codes Meetup for the Good The Coding ExpertThe Success The GFI with Codes The Experienced dude Project Explained Code Change Group</t>
  </si>
  <si>
    <t>Indie Profilers Static Startup</t>
  </si>
  <si>
    <t>Client - Global</t>
  </si>
  <si>
    <t xml:space="preserve">A Salute to New Workers Robust Routine Active Achievement Match of Health Debug EntityA Salute to New Workers Robust Routine Active Achievement Match of Health Debug EntityRobust Routine  Coding Region Debug Entity </t>
  </si>
  <si>
    <t>Impact Training Mo-Money Masterclass</t>
  </si>
  <si>
    <t>The Discovery of Era Enter Coding The Coding Master Remembering Our Ancestors Fast Coding</t>
  </si>
  <si>
    <t>Jonny Levitiz</t>
  </si>
  <si>
    <t>Made by Me Center for Creative Coding Fast &amp; Creative Gang The Discovery of Era Enter CodingMade by Me Center for Creative Coding Fast &amp; Creative Gang The Discovery of Era Enter CodingRemembering Our Ancestors Fast Coding The Art of Codes Meetup for the Good The Coding Expert</t>
  </si>
  <si>
    <t>White Feather Debug Entity</t>
  </si>
  <si>
    <t>The Experienced dude Static Startup Wombat Box of Crayons Indie Profilers</t>
  </si>
  <si>
    <t>Charged by Codes Java Dalia Wide Stringer The Experienced dude Static StartupCharged by Codes Java Dalia Wide Stringer The Experienced dude Static StartupBox of Crayons Indie Profilers Software Chasers The Blue Bird The Experienced dude Search Engine Bandits</t>
  </si>
  <si>
    <t>Moving Bird In Recognition of Codes</t>
  </si>
  <si>
    <t>7th Annual Workshop Wide Stringer Mo-Money Masterclass The Domain of Work Wombat</t>
  </si>
  <si>
    <t>Annual Award Show White Feather The Principal of Change 7th Annual Workshop Wide StringerAnnual Award Show White Feather The Principal of Change 7th Annual Workshop Wide StringerThe Domain of Work Wombat Impact Training The Successful Project Software Chasers</t>
  </si>
  <si>
    <t>Search Engine Bandits Indie Profilers</t>
  </si>
  <si>
    <t xml:space="preserve">Robust Routine  Coding Region Debug Entity </t>
  </si>
  <si>
    <t>Bernard Suppremilo</t>
  </si>
  <si>
    <t>Match of Health Debug Entity Excel and Elevate Training Annual Award Show White FeatherMatch of Health Debug Entity Excel and Elevate Training Annual Award Show White Feather</t>
  </si>
  <si>
    <t>The Experienced dude Static Startup 16</t>
  </si>
  <si>
    <t>The Successful Project Software Chasers Excalibur Training Fast &amp; Creative Gang Gob Geeklords</t>
  </si>
  <si>
    <t>Task and Hours</t>
  </si>
  <si>
    <t>William Davis</t>
  </si>
  <si>
    <t>The Domain of Work Wombat Impact Training The Successful Project Software ChasersThe Domain of Work Wombat Impact Training The Successful Project Software ChasersFast &amp; Creative Gang Gob Geeklords Robust Routine The Coding Master Celestial Interface</t>
  </si>
  <si>
    <t>Wombat Wide Stringer</t>
  </si>
  <si>
    <t>Development - Ops</t>
  </si>
  <si>
    <t>Fast &amp; Creative Gang Gob Geeklords The Domain of Work The Coding Master Celestial InterfaceFast &amp; Creative Gang Gob Geeklords The Domain of Work The Coding Master Celestial InterfaceThe Success The GFI with Codes The Experienced dude Project Explained Code Change Group</t>
  </si>
  <si>
    <t>Aug</t>
  </si>
  <si>
    <t>Charged by Codes The Art of Codes</t>
  </si>
  <si>
    <t>Mentee to Mentor Mo-Money Masterclass Town Hall Meeting Active Achievement Impact Training</t>
  </si>
  <si>
    <t>Coding Region The Principal of Change The Network Mentee to Mentor Mo-Money MasterclassCoding Region The Principal of Change The Network Mentee to Mentor Mo-Money MasterclassActive Achievement Impact Training Coding Region Excel and Elevate Training Excalibur Training</t>
  </si>
  <si>
    <t>Match of Health A Salute to New Workers</t>
  </si>
  <si>
    <t>In Recognition of Codes The Art of Codes Annual Award Show Moving Bird Charged by Codes</t>
  </si>
  <si>
    <t>Esra Mejid</t>
  </si>
  <si>
    <t>Meetup for the Good The Coding Expert Charged by Codes The Success The GFI with CodesMeetup for the Good The Coding Expert Charged by Codes The Success The GFI with CodesProject Explained Code Change Group Box of Crayons The Social Experiment Coding League</t>
  </si>
  <si>
    <t>Coding League Code Change Group</t>
  </si>
  <si>
    <t>The Art of Codes Open Source Pundits Fast &amp; Creative Gang Charged by Codes Java Dalia</t>
  </si>
  <si>
    <t>Approved for Deployment</t>
  </si>
  <si>
    <t>NA</t>
  </si>
  <si>
    <t>Bruce Gordon</t>
  </si>
  <si>
    <t>Town Hall Meeting Switch and Swift The Social Experiment Coding Region The Principal of ChangeTown Hall Meeting Switch and Swift The Social Experiment Coding Region The Principal of ChangeCharged by Codes Java Dalia The Coding Master The Experienced dude Static Startup</t>
  </si>
  <si>
    <t>Made by Me Social Geek Made</t>
  </si>
  <si>
    <t>A Salute to New Workers Robust Routine Active Achievement Match of Health Debug Entity</t>
  </si>
  <si>
    <t>Excel and Elevate Training Excalibur Training Mentee to Mentor A Salute to New Workers Robust RoutineExcel and Elevate Training Excalibur Training Mentee to Mentor A Salute to New Workers Robust RoutineMatch of Health Debug Entity Excel and Elevate Training Annual Award Show White Feather</t>
  </si>
  <si>
    <t>The Experienced dude Static Startup 14</t>
  </si>
  <si>
    <t>The Success The GFI with Codes The Experienced dude Project Explained Code Change Group</t>
  </si>
  <si>
    <t>Development - Security</t>
  </si>
  <si>
    <t>The Blue Bird Moving Bird</t>
  </si>
  <si>
    <t>7th Annual Workshop Wide Stringer Match of Health The Domain of Work Wombat</t>
  </si>
  <si>
    <t>Annual Award Show White Feather A Salute to New Workers 7th Annual Workshop Wide StringerAnnual Award Show White Feather A Salute to New Workers 7th Annual Workshop Wide StringerThe Domain of Work Wombat Annual Award Show The Successful Project Software Chasers</t>
  </si>
  <si>
    <t>Town Hall Meeting The Network</t>
  </si>
  <si>
    <t>Coding Region The Principal of Change The Coding Expert Mentee to Mentor Mo-Money Masterclass</t>
  </si>
  <si>
    <t>On Hold</t>
  </si>
  <si>
    <t>Shakena Underwood</t>
  </si>
  <si>
    <t>Town Hall Meeting Switch and Swift Fast Coding Coding Region The Principal of ChangeTown Hall Meeting Switch and Swift Fast Coding Coding Region The Principal of ChangeMentee to Mentor Mo-Money Masterclass The GFI with Codes Active Achievement Impact Training</t>
  </si>
  <si>
    <t>Oct</t>
  </si>
  <si>
    <t>Switch and Swift Linkage, Inc.</t>
  </si>
  <si>
    <t>The Blue Bird The Experienced dude Search Engine Bandits In Recognition of Codes Social Geek Made Box of Crayons</t>
  </si>
  <si>
    <t>Ashley Queenie</t>
  </si>
  <si>
    <t>Box of Crayons Indie Profilers Software Chasers The Blue Bird The Experienced dude Search Engine BanditsBox of Crayons Indie Profilers Software Chasers The Blue Bird The Experienced dude Search Engine BanditsSocial Geek Made Box of Crayons Moving Bird Made by Me Center for Creative Coding</t>
  </si>
  <si>
    <t>The Experienced dude Static Startup 2</t>
  </si>
  <si>
    <t xml:space="preserve">Java Dalia  The Successful Project Static Startup </t>
  </si>
  <si>
    <t>QA Tester 7</t>
  </si>
  <si>
    <t>Active Achievement Impact Training Coding Region Excel and Elevate Training Excalibur TrainingActive Achievement Impact Training Coding Region Excel and Elevate Training Excalibur TrainingThe Successful Project Software Chasers Excalibur Training Fast &amp; Creative Gang Gob Geeklords</t>
  </si>
  <si>
    <t>Debug Entity Robust Routine</t>
  </si>
  <si>
    <t>The Domain of Work Wombat Annual Award Show The Successful Project Software Chasers</t>
  </si>
  <si>
    <t>Jamie Foxxie</t>
  </si>
  <si>
    <t>7th Annual Workshop Wide Stringer Match of Health The Domain of Work Wombat7th Annual Workshop Wide Stringer Match of Health The Domain of Work WombatThe Successful Project Software Chasers 7th Annual Workshop Fast &amp; Creative Gang Gob Geeklords</t>
  </si>
  <si>
    <t>The Coding Expert Fast Coding</t>
  </si>
  <si>
    <t>Social Geek Made Box of Crayons The Successful Project Made by Me Center for Creative Coding</t>
  </si>
  <si>
    <t>The Blue Bird The Experienced dude The Domain of Work Social Geek Made Box of CrayonsThe Blue Bird The Experienced dude The Domain of Work Social Geek Made Box of CrayonsMade by Me Center for Creative Coding Fast &amp; Creative Gang The Discovery of Era Enter Coding</t>
  </si>
  <si>
    <t>Celestial Interface Gob Geeklords</t>
  </si>
  <si>
    <t>Box of Crayons Indie Profilers Software Chasers Center for Creative Coding Search Engine Bandits</t>
  </si>
  <si>
    <t>Low</t>
  </si>
  <si>
    <t>Excel and Elevate Training Excalibur Training Mentee to Mentor A Salute to New Workers Robust RoutineExcel and Elevate Training Excalibur Training Mentee to Mentor A Salute to New Workers Robust RoutineThe Successful Project Software Chasers Excalibur Training Fast &amp; Creative Gang Gob Geeklords</t>
  </si>
  <si>
    <t>Excalibur GHI Training Impact Training</t>
  </si>
  <si>
    <t>Made by Me Center for Creative Coding The Blue Bird The Discovery of Era Enter Coding</t>
  </si>
  <si>
    <t>QA Tester 5</t>
  </si>
  <si>
    <t>Social Geek Made Box of Crayons Moving Bird Made by Me Center for Creative CodingSocial Geek Made Box of Crayons Moving Bird Made by Me Center for Creative CodingThe Discovery of Era Enter Coding Social Geek Made Remembering Our Ancestors Fast Coding</t>
  </si>
  <si>
    <t>Open Source Pundits Celestial Interface</t>
  </si>
  <si>
    <t>Eto Smith</t>
  </si>
  <si>
    <t xml:space="preserve">A Salute to New Workers Robust Routine Active Achievement Match of Health Debug EntityA Salute to New Workers Robust Routine Active Achievement Match of Health Debug EntityStatic Startup  Fast &amp; Creative Gang Indie Profilers </t>
  </si>
  <si>
    <t>The Network The Social Experiment</t>
  </si>
  <si>
    <t>Charged by Codes Java Dalia The Coding Master The Experienced dude Static Startup</t>
  </si>
  <si>
    <t>QA Tester 1</t>
  </si>
  <si>
    <t>Coding Region The Principal of Change The Network Mentee to Mentor Mo-Money MasterclassCoding Region The Principal of Change The Network Mentee to Mentor Mo-Money MasterclassThe Experienced dude Static Startup The Art of Codes</t>
  </si>
  <si>
    <t>The Experienced dude Static Startup 4</t>
  </si>
  <si>
    <t>A Salute to New Workers Robust Routine Active Achievement Match of Health Debug EntityA Salute to New Workers Robust Routine Active Achievement Match of Health Debug EntityThe Coding Master Celestial Interface Debug Entity The Art of Codes Open Source Pundits</t>
  </si>
  <si>
    <t>The Experienced dude Static Startup 11</t>
  </si>
  <si>
    <t>The Network Linkage, Inc. Project Explained Town Hall Meeting Switch and Swift</t>
  </si>
  <si>
    <t>Nate Matthers</t>
  </si>
  <si>
    <t>The Social Experiment Coding League The Success The Network Linkage, Inc.The Social Experiment Coding League The Success The Network Linkage, Inc.Town Hall Meeting Switch and Swift The Social Experiment Coding Region The Principal of Change</t>
  </si>
  <si>
    <t>The Experienced dude Static Startup 15</t>
  </si>
  <si>
    <t>The Success The GFI with Codes Remembering Our Ancestors Project Explained Code Change Group</t>
  </si>
  <si>
    <t>Valerie Lazer</t>
  </si>
  <si>
    <t>Meetup for the Good The Coding Expert The Discovery of Era The Success The GFI with CodesMeetup for the Good The Coding Expert The Discovery of Era The Success The GFI with CodesProject Explained Code Change Group Meetup for the Good The Social Experiment Coding League</t>
  </si>
  <si>
    <t>May</t>
  </si>
  <si>
    <t>Excel and Elevate Training Active Achievement</t>
  </si>
  <si>
    <t>Fast &amp; Creative Gang Gob Geeklords Robust Routine The Coding Master Celestial Interface</t>
  </si>
  <si>
    <t>Kate Mills</t>
  </si>
  <si>
    <t>The Successful Project Software Chasers Excalibur Training Fast &amp; Creative Gang Gob GeeklordsThe Successful Project Software Chasers Excalibur Training Fast &amp; Creative Gang Gob GeeklordsThe Coding Master Celestial Interface Debug Entity The Art of Codes Open Source Pundits</t>
  </si>
  <si>
    <t>Enter Coding Center for Creative Coding</t>
  </si>
  <si>
    <t>Remembering Our Ancestors Fast Coding The Art of Codes Meetup for the Good The Coding Expert</t>
  </si>
  <si>
    <t>The Discovery of Era Enter Coding The Coding Master Remembering Our Ancestors Fast CodingThe Discovery of Era Enter Coding The Coding Master Remembering Our Ancestors Fast CodingMeetup for the Good The Coding Expert Charged by Codes The Success The GFI with Codes</t>
  </si>
  <si>
    <t>The Experienced dude Static Startup 7</t>
  </si>
  <si>
    <t xml:space="preserve">Excalibur Training  Town Hall Meeting Robust Routine </t>
  </si>
  <si>
    <t>7th Annual Workshop Wide Stringer Match of Health The Domain of Work Wombat7th Annual Workshop Wide Stringer Match of Health The Domain of Work WombatThe Social Experiment Coding League Center for Creative Coding The Network Linkage, Inc.</t>
  </si>
  <si>
    <t>Fast Coding Enter Coding</t>
  </si>
  <si>
    <t>Remembering Our Ancestors Fast Coding Made by Me Meetup for the Good The Coding Expert</t>
  </si>
  <si>
    <t>The Discovery of Era Enter Coding Social Geek Made Remembering Our Ancestors Fast CodingThe Discovery of Era Enter Coding Social Geek Made Remembering Our Ancestors Fast CodingMeetup for the Good The Coding Expert The Discovery of Era The Success The GFI with Codes</t>
  </si>
  <si>
    <t>The Domain of Work 7th Annual Workshop</t>
  </si>
  <si>
    <t>Match of Health Debug Entity Switch and Swift Annual Award Show White Feather</t>
  </si>
  <si>
    <t>Mo Salah</t>
  </si>
  <si>
    <t>Barbie Clainton</t>
  </si>
  <si>
    <t>A Salute to New Workers Robust Routine Linkage, Inc. Match of Health Debug EntityA Salute to New Workers Robust Routine Linkage, Inc. Match of Health Debug EntityAnnual Award Show White Feather The Principal of Change 7th Annual Workshop Wide Stringer</t>
  </si>
  <si>
    <t>Linkage, Inc. Coding League</t>
  </si>
  <si>
    <t>The Blue Bird The Experienced dude The Domain of Work Social Geek Made Box of Crayons</t>
  </si>
  <si>
    <t>Ellis Florzak</t>
  </si>
  <si>
    <t>Moving Bird Charged by Codes 7th Annual Workshop The Blue Bird The Experienced dudeMoving Bird Charged by Codes 7th Annual Workshop The Blue Bird The Experienced dudeSocial Geek Made Box of Crayons The Successful Project Made by Me Center for Creative Coding</t>
  </si>
  <si>
    <t>The Successful Project The Domain of Work</t>
  </si>
  <si>
    <t>Match of Health Debug Entity Excel and Elevate Training Annual Award Show White Feather</t>
  </si>
  <si>
    <t>Abd Elfattah Elsisi</t>
  </si>
  <si>
    <t>A Salute to New Workers Robust Routine Active Achievement Match of Health Debug EntityA Salute to New Workers Robust Routine Active Achievement Match of Health Debug EntityAnnual Award Show White Feather A Salute to New Workers 7th Annual Workshop Wide Stringer</t>
  </si>
  <si>
    <t>Center for Creative Coding Box of Crayons</t>
  </si>
  <si>
    <t>Project Explained Code Change Group Meetup for the Good The Social Experiment Coding League</t>
  </si>
  <si>
    <t>The Success The GFI with Codes Remembering Our Ancestors Project Explained Code Change GroupThe Success The GFI with Codes Remembering Our Ancestors Project Explained Code Change GroupThe Social Experiment Coding League The Success The Network Linkage, Inc.</t>
  </si>
  <si>
    <t>Box of Crayons The Experienced dude</t>
  </si>
  <si>
    <t>Project Explained Code Change Group Box of Crayons The Social Experiment Coding League</t>
  </si>
  <si>
    <t>Farid Ahmed</t>
  </si>
  <si>
    <t>Vergil Vimero</t>
  </si>
  <si>
    <t>The Success The GFI with Codes The Experienced dude Project Explained Code Change GroupThe Success The GFI with Codes The Experienced dude Project Explained Code Change GroupThe Social Experiment Coding League Center for Creative Coding The Network Linkage, Inc.</t>
  </si>
  <si>
    <t>Social Geek Made The Blue Bird</t>
  </si>
  <si>
    <t>A Salute to New Workers Robust Routine Linkage, Inc. Match of Health Debug Entity</t>
  </si>
  <si>
    <t>Excel and Elevate Training Excalibur Training Coding League A Salute to New Workers Robust RoutineExcel and Elevate Training Excalibur Training Coding League A Salute to New Workers Robust RoutineMatch of Health Debug Entity Switch and Swift Annual Award Show White Feather</t>
  </si>
  <si>
    <t>Meetup for the Good Remembering Our</t>
  </si>
  <si>
    <t>Annual Award Show White Feather The Principal of Change 7th Annual Workshop Wide Stringer</t>
  </si>
  <si>
    <t>Match of Health Debug Entity Switch and Swift Annual Award Show White FeatherMatch of Health Debug Entity Switch and Swift Annual Award Show White Feather7th Annual Workshop Wide Stringer Mo-Money Masterclass The Domain of Work Wombat</t>
  </si>
  <si>
    <t>Java Dalia Open Source Pundits</t>
  </si>
  <si>
    <t xml:space="preserve">Static Startup  Fast &amp; Creative Gang Indie Profilers </t>
  </si>
  <si>
    <t>Resource Assignment - HOLD</t>
  </si>
  <si>
    <t>Hossam Khalil</t>
  </si>
  <si>
    <t>Bobby Silvermen</t>
  </si>
  <si>
    <t>Active Achievement Impact Training Coding Region Excel and Elevate Training Excalibur TrainingActive Achievement Impact Training Coding Region Excel and Elevate Training Excalibur TrainingFast &amp; Creative Gang Gob Geeklords Robust Routine The Coding Master Celestial Interface</t>
  </si>
  <si>
    <t>Static Startup Java Dalia</t>
  </si>
  <si>
    <t>Amy Zimmerman</t>
  </si>
  <si>
    <t>Excel and Elevate Training Excalibur Training Mentee to Mentor A Salute to New Workers Robust RoutineExcel and Elevate Training Excalibur Training Mentee to Mentor A Salute to New Workers Robust RoutineTown Hall Meeting Switch and Swift Fast Coding Coding Region The Principal of Change</t>
  </si>
  <si>
    <t>The Experienced dude Static Startup 17</t>
  </si>
  <si>
    <t>The Successful Project Software Chasers 7th Annual Workshop Fast &amp; Creative Gang Gob Geeklords</t>
  </si>
  <si>
    <t>Kenneth Wright</t>
  </si>
  <si>
    <t>The Domain of Work Wombat Annual Award Show The Successful Project Software ChasersThe Domain of Work Wombat Annual Award Show The Successful Project Software ChasersFast &amp; Creative Gang Gob Geeklords The Domain of Work The Coding Master Celestial Interface</t>
  </si>
  <si>
    <t>The Principal of Change Switch and Swift</t>
  </si>
  <si>
    <t>Seth Pence</t>
  </si>
  <si>
    <t>Fast &amp; Creative Gang Gob Geeklords Robust Routine The Coding Master Celestial InterfaceFast &amp; Creative Gang Gob Geeklords Robust Routine The Coding Master Celestial InterfaceThe Art of Codes Open Source Pundits White Feather Charged by Codes Java Dalia</t>
  </si>
  <si>
    <t>The Social Experiment Project Explained</t>
  </si>
  <si>
    <t>Charged by Codes Java Dalia Wide Stringer The Experienced dude Static Startup</t>
  </si>
  <si>
    <t>Sahar Rashad</t>
  </si>
  <si>
    <t>Arthur Knight</t>
  </si>
  <si>
    <t>The Art of Codes Open Source Pundits White Feather Charged by Codes Java DaliaThe Art of Codes Open Source Pundits White Feather Charged by Codes Java DaliaThe Experienced dude Static Startup Wombat Box of Crayons Indie Profilers</t>
  </si>
  <si>
    <t>The Experienced dude Static Startup 10</t>
  </si>
  <si>
    <t>Brad Summers</t>
  </si>
  <si>
    <t>The Social Experiment Coding League Center for Creative Coding The Network Linkage, Inc.The Social Experiment Coding League Center for Creative Coding The Network Linkage, Inc.Town Hall Meeting Switch and Swift Fast Coding Coding Region The Principal of Change</t>
  </si>
  <si>
    <t>The Experienced dude Static Startup 3</t>
  </si>
  <si>
    <t>KMK</t>
  </si>
  <si>
    <t>Security Project Management</t>
  </si>
  <si>
    <t>Excel and Elevate Training Excalibur Training Mentee to Mentor A Salute to New Workers Robust RoutineExcel and Elevate Training Excalibur Training Mentee to Mentor A Salute to New Workers Robust RoutineThe Experienced dude Static Startup Wombat Box of Crayons Indie Profilers</t>
  </si>
  <si>
    <t>Mo-Money Masterclass The Principal of Change</t>
  </si>
  <si>
    <t>The Coding Master Celestial Interface The Successful Project The Art of Codes Open Source Pundits</t>
  </si>
  <si>
    <t>The Network Linkage, Inc. Project Explained Town Hall Meeting Switch and SwiftThe Network Linkage, Inc. Project Explained Town Hall Meeting Switch and SwiftThe Art of Codes Open Source Pundits Fast &amp; Creative Gang Charged by Codes Java Dalia</t>
  </si>
  <si>
    <t>Excalibur Training Impact Training</t>
  </si>
  <si>
    <t>The Discovery of Era Enter Coding Social Geek Made Remembering Our Ancestors Fast Coding</t>
  </si>
  <si>
    <t>Sam Jack</t>
  </si>
  <si>
    <t>Keri Waves</t>
  </si>
  <si>
    <t>Made by Me Center for Creative Coding The Blue Bird The Discovery of Era Enter CodingMade by Me Center for Creative Coding The Blue Bird The Discovery of Era Enter CodingRemembering Our Ancestors Fast Coding Made by Me Meetup for the Good The Coding Expert</t>
  </si>
  <si>
    <t>Active Achievement Mentee to Mentor</t>
  </si>
  <si>
    <t>Excel and Elevate Training Excalibur Training Mentee to Mentor A Salute to New Workers Robust Routine</t>
  </si>
  <si>
    <t>Active Achievement Impact Training Coding Region Excel and Elevate Training Excalibur TrainingActive Achievement Impact Training Coding Region Excel and Elevate Training Excalibur TrainingA Salute to New Workers Robust Routine Active Achievement Match of Health Debug Entity</t>
  </si>
  <si>
    <t>Gob Geeklords Software Chasers</t>
  </si>
  <si>
    <t xml:space="preserve">The Principal of Change  Project Explained Mo-Money Masterclass </t>
  </si>
  <si>
    <t>Cancelled</t>
  </si>
  <si>
    <t>Active Achievement Impact Training Coding Region Excel and Elevate Training Excalibur TrainingActive Achievement Impact Training Coding Region Excel and Elevate Training Excalibur TrainingBox of Crayons Indie Profilers Software Chasers Center for Creative Coding Search Engine Bandits</t>
  </si>
  <si>
    <t>Annual Award Show Match of Health</t>
  </si>
  <si>
    <t>Made by Me Center for Creative Coding Fast &amp; Creative Gang The Discovery of Era Enter Coding</t>
  </si>
  <si>
    <t>Testing - IT</t>
  </si>
  <si>
    <t>Social Geek Made Box of Crayons The Successful Project Made by Me Center for Creative CodingSocial Geek Made Box of Crayons The Successful Project Made by Me Center for Creative CodingThe Discovery of Era Enter Coding The Coding Master Remembering Our Ancestors Fast Coding</t>
  </si>
  <si>
    <t>The Experienced dude Static Startup 19</t>
  </si>
  <si>
    <t>Town Hall Meeting Switch and Swift The Social Experiment Coding Region The Principal of Change</t>
  </si>
  <si>
    <t>Rovan Hossam</t>
  </si>
  <si>
    <t>The Network Linkage, Inc. Project Explained Town Hall Meeting Switch and SwiftThe Network Linkage, Inc. Project Explained Town Hall Meeting Switch and SwiftCoding Region The Principal of Change The Network Mentee to Mentor Mo-Money Masterclass</t>
  </si>
  <si>
    <t>The Coding Master Fast &amp; Creative Gang</t>
  </si>
  <si>
    <t>Meetup for the Good The Coding Expert The Discovery of Era The Success The GFI with Codes</t>
  </si>
  <si>
    <t>Haidy Hussain</t>
  </si>
  <si>
    <t>QA Tester 8</t>
  </si>
  <si>
    <t>Remembering Our Ancestors Fast Coding Made by Me Meetup for the Good The Coding ExpertRemembering Our Ancestors Fast Coding Made by Me Meetup for the Good The Coding ExpertThe Success The GFI with Codes Remembering Our Ancestors Project Explained Code Change Group</t>
  </si>
  <si>
    <t>Software Chasers Wombat</t>
  </si>
  <si>
    <t xml:space="preserve">The Coding Master Celestial Interface The Successful Project The Art of Codes Open Source PunditsThe Coding Master Celestial Interface The Successful Project The Art of Codes Open Source PunditsThe Principal of Change  Project Explained Mo-Money Masterclass </t>
  </si>
  <si>
    <t>Project Explained The Success</t>
  </si>
  <si>
    <t>Box of Crayons Indie Profilers Software Chasers The Blue Bird The Experienced dude Search Engine Bandits</t>
  </si>
  <si>
    <t>Ahmed Khalil</t>
  </si>
  <si>
    <t>The Experienced dude Static Startup Wombat Box of Crayons Indie ProfilersThe Experienced dude Static Startup Wombat Box of Crayons Indie ProfilersThe Blue Bird The Experienced dude Search Engine Bandits In Recognition of Codes Social Geek Made Box of Crayons</t>
  </si>
  <si>
    <t>Coding Region Town Hall Meeting</t>
  </si>
  <si>
    <t>Coding Region The Principal of Change The Network Mentee to Mentor Mo-Money Masterclass</t>
  </si>
  <si>
    <t>Town Hall Meeting Switch and Swift The Social Experiment Coding Region The Principal of ChangeTown Hall Meeting Switch and Swift The Social Experiment Coding Region The Principal of ChangeMentee to Mentor Mo-Money Masterclass Town Hall Meeting Active Achievement Impact Training</t>
  </si>
  <si>
    <t>The Success Meetup for the Good</t>
  </si>
  <si>
    <t>Annual Award Show White Feather A Salute to New Workers 7th Annual Workshop Wide Stringer</t>
  </si>
  <si>
    <t>Wayne Bruceton</t>
  </si>
  <si>
    <t>Match of Health Debug Entity Excel and Elevate Training Annual Award Show White FeatherMatch of Health Debug Entity Excel and Elevate Training Annual Award Show White Feather7th Annual Workshop Wide Stringer Match of Health The Domain of Work Wombat</t>
  </si>
  <si>
    <t>The Experienced dude Charged by Codes</t>
  </si>
  <si>
    <t>Moving Bird Charged by Codes 7th Annual Workshop The Blue Bird The Experienced dude</t>
  </si>
  <si>
    <t>Nicolas Centrio</t>
  </si>
  <si>
    <t>In Recognition of Codes The Art of Codes Annual Award Show Moving Bird Charged by CodesIn Recognition of Codes The Art of Codes Annual Award Show Moving Bird Charged by CodesThe Blue Bird The Experienced dude The Domain of Work Social Geek Made Box of Crayons</t>
  </si>
  <si>
    <t>The Discovery of Era Made by Me</t>
  </si>
  <si>
    <t>Active Achievement Impact Training Code Change Group Excel and Elevate Training Excalibur Training</t>
  </si>
  <si>
    <t>Mentee to Mentor Mo-Money Masterclass The GFI with Codes Active Achievement Impact TrainingMentee to Mentor Mo-Money Masterclass The GFI with Codes Active Achievement Impact TrainingExcel and Elevate Training Excalibur Training Coding League A Salute to New Workers Robust Routine</t>
  </si>
  <si>
    <t>Remembering Our Ancestors The Discovery</t>
  </si>
  <si>
    <t>Active Achievement Impact Training Coding Region Excel and Elevate Training Excalibur Training</t>
  </si>
  <si>
    <t>Christine Dayton</t>
  </si>
  <si>
    <t>QA Tester 4</t>
  </si>
  <si>
    <t>Mentee to Mentor Mo-Money Masterclass Town Hall Meeting Active Achievement Impact TrainingMentee to Mentor Mo-Money Masterclass Town Hall Meeting Active Achievement Impact TrainingExcel and Elevate Training Excalibur Training Mentee to Mentor A Salute to New Workers Robust Routine</t>
  </si>
  <si>
    <t>Robust Routine Excalibur Training</t>
  </si>
  <si>
    <t>The Domain of Work Wombat Impact Training The Successful Project Software Chasers</t>
  </si>
  <si>
    <t>7th Annual Workshop Wide Stringer Mo-Money Masterclass The Domain of Work Wombat7th Annual Workshop Wide Stringer Mo-Money Masterclass The Domain of Work WombatThe Successful Project Software Chasers Excalibur Training Fast &amp; Creative Gang Gob Geeklords</t>
  </si>
  <si>
    <t>Code Change Group The GFI with Codes</t>
  </si>
  <si>
    <t>The Art of Codes Open Source Pundits White Feather Charged by Codes Java Dalia</t>
  </si>
  <si>
    <t>The Coding Master Celestial Interface Debug Entity The Art of Codes Open Source PunditsThe Coding Master Celestial Interface Debug Entity The Art of Codes Open Source PunditsCharged by Codes Java Dalia Wide Stringer The Experienced dude Static Startup</t>
  </si>
  <si>
    <t>Mentee to Mentor Coding Region</t>
  </si>
  <si>
    <t>Excel and Elevate Training Excalibur Training Coding League A Salute to New Workers Robust Routine</t>
  </si>
  <si>
    <t>Karen Rittleton</t>
  </si>
  <si>
    <t>Active Achievement Impact Training Code Change Group Excel and Elevate Training Excalibur TrainingActive Achievement Impact Training Code Change Group Excel and Elevate Training Excalibur TrainingA Salute to New Workers Robust Routine Linkage, Inc. Match of Health Debug Entity</t>
  </si>
  <si>
    <t>Row Labels</t>
  </si>
  <si>
    <t>Grand Total</t>
  </si>
  <si>
    <t>Sum of Project Value</t>
  </si>
  <si>
    <t>Column Labels</t>
  </si>
  <si>
    <t>project status summary</t>
  </si>
  <si>
    <t>Sum of Project ID Number</t>
  </si>
  <si>
    <t>project value by  type</t>
  </si>
  <si>
    <t>project stastus summary</t>
  </si>
  <si>
    <t>project value by type</t>
  </si>
  <si>
    <t>9</t>
  </si>
  <si>
    <t>count of project</t>
  </si>
  <si>
    <t>project by manager</t>
  </si>
  <si>
    <t>time line</t>
  </si>
  <si>
    <t xml:space="preserve"> count of project (Month)</t>
  </si>
  <si>
    <t>Count of Status</t>
  </si>
  <si>
    <t>Count of count of project</t>
  </si>
  <si>
    <t>)</t>
  </si>
  <si>
    <t xml:space="preserve"> </t>
  </si>
  <si>
    <t>AVG WORKING HOURS=1106HRS</t>
  </si>
  <si>
    <t>Total project =72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</si>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</sst>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dd/mm/yyyy"/>
    <numFmt numFmtId="166" formatCode="m/d/yy"/>
  </numFmts>
  <fonts count="16" x14ac:knownFonts="1">
    <font>
      <sz val="11"/>
      <color theme="1"/>
      <name val="Aptos Narrow"/>
      <family val="2"/>
      <scheme val="minor"/>
    </font>
    <font>
      <sz val="12"/>
      <color theme="0"/>
      <name val="Arial"/>
      <family val="2"/>
    </font>
    <font>
      <b/>
      <sz val="12"/>
      <color theme="0"/>
      <name val="Arial"/>
      <family val="2"/>
    </font>
    <font>
      <sz val="12"/>
      <color theme="1"/>
      <name val="Arial"/>
      <family val="2"/>
    </font>
    <font>
      <sz val="12"/>
      <color theme="1" tint="0.249977111117893"/>
      <name val="Arial"/>
      <family val="2"/>
    </font>
    <font>
      <b/>
      <sz val="12"/>
      <color theme="1" tint="0.249977111117893"/>
      <name val="Arial"/>
      <family val="2"/>
    </font>
    <font>
      <b/>
      <sz val="12"/>
      <color theme="1"/>
      <name val="Arial"/>
      <family val="2"/>
    </font>
    <font>
      <sz val="16"/>
      <color rgb="FF000000"/>
      <name val="Aptos Narrow"/>
      <family val="2"/>
      <scheme val="minor"/>
    </font>
    <font>
      <b/>
      <sz val="14"/>
      <color theme="1"/>
      <name val="Aptos Narrow"/>
      <family val="2"/>
      <scheme val="minor"/>
    </font>
    <font>
      <b/>
      <sz val="16"/>
      <color theme="1"/>
      <name val="Aptos Narrow"/>
      <family val="2"/>
      <scheme val="minor"/>
    </font>
    <font>
      <sz val="8"/>
      <name val="Aptos Narrow"/>
      <family val="2"/>
      <scheme val="minor"/>
    </font>
    <font>
      <sz val="11"/>
      <color rgb="FFFF0000"/>
      <name val="Aptos Narrow"/>
      <family val="2"/>
      <scheme val="minor"/>
    </font>
    <font>
      <sz val="11"/>
      <color theme="0"/>
      <name val="Aptos Narrow"/>
      <family val="2"/>
      <scheme val="minor"/>
    </font>
    <font>
      <sz val="14"/>
      <color theme="0"/>
      <name val="Algerian"/>
      <family val="5"/>
    </font>
    <font>
      <b/>
      <sz val="11"/>
      <color theme="1"/>
      <name val="Algerian"/>
      <family val="5"/>
    </font>
    <font>
      <sz val="14"/>
      <color rgb="FFFFFFFF"/>
      <name val="Algerian"/>
      <family val="5"/>
    </font>
  </fonts>
  <fills count="6">
    <fill>
      <patternFill patternType="none"/>
    </fill>
    <fill>
      <patternFill patternType="gray125"/>
    </fill>
    <fill>
      <patternFill patternType="solid">
        <fgColor theme="8"/>
        <bgColor indexed="64"/>
      </patternFill>
    </fill>
    <fill>
      <patternFill patternType="solid">
        <fgColor theme="1"/>
        <bgColor indexed="64"/>
      </patternFill>
    </fill>
    <fill>
      <patternFill patternType="solid">
        <fgColor rgb="FF1F4E79"/>
        <bgColor indexed="64"/>
      </patternFill>
    </fill>
    <fill>
      <patternFill patternType="solid">
        <fgColor theme="1" tint="4.9989318521683403E-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2">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wrapText="1"/>
    </xf>
    <xf numFmtId="0" fontId="3" fillId="0" borderId="0" xfId="0" applyFont="1"/>
    <xf numFmtId="0" fontId="4" fillId="0" borderId="0" xfId="0" applyFont="1" applyAlignment="1">
      <alignment horizontal="center" vertical="center"/>
    </xf>
    <xf numFmtId="164" fontId="4" fillId="0" borderId="0" xfId="0" applyNumberFormat="1" applyFont="1" applyAlignment="1">
      <alignment horizontal="center" vertical="center"/>
    </xf>
    <xf numFmtId="1" fontId="4" fillId="0" borderId="0" xfId="0" applyNumberFormat="1" applyFont="1" applyAlignment="1">
      <alignment horizontal="center" vertical="center"/>
    </xf>
    <xf numFmtId="14" fontId="4" fillId="0" borderId="0" xfId="0" applyNumberFormat="1" applyFont="1" applyAlignment="1">
      <alignment horizontal="center" vertical="center"/>
    </xf>
    <xf numFmtId="0" fontId="4" fillId="0" borderId="0" xfId="0" applyFont="1" applyAlignment="1">
      <alignment horizontal="right" vertical="center"/>
    </xf>
    <xf numFmtId="0" fontId="6"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0" fontId="6" fillId="0" borderId="0" xfId="0" applyFont="1"/>
    <xf numFmtId="3" fontId="5"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8" fillId="0" borderId="0" xfId="0" applyFont="1" applyAlignment="1">
      <alignment wrapText="1"/>
    </xf>
    <xf numFmtId="165" fontId="4" fillId="0" borderId="0" xfId="0" applyNumberFormat="1" applyFont="1" applyAlignment="1">
      <alignment horizontal="center" vertical="center"/>
    </xf>
    <xf numFmtId="166" fontId="4" fillId="0" borderId="0" xfId="0" applyNumberFormat="1" applyFont="1" applyAlignment="1">
      <alignment horizontal="center" vertical="center"/>
    </xf>
    <xf numFmtId="3" fontId="0" fillId="0" borderId="0" xfId="0" applyNumberFormat="1"/>
    <xf numFmtId="0" fontId="9" fillId="0" borderId="0" xfId="0" applyFont="1"/>
    <xf numFmtId="0" fontId="1" fillId="4" borderId="0" xfId="0" applyFont="1" applyFill="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15" fillId="0" borderId="0" xfId="0" applyFont="1"/>
    <xf numFmtId="0" fontId="11" fillId="5" borderId="0" xfId="0" applyFont="1" applyFill="1" applyAlignment="1">
      <alignment horizontal="center"/>
    </xf>
    <xf numFmtId="0" fontId="13" fillId="5" borderId="0" xfId="0" applyFont="1" applyFill="1" applyAlignment="1">
      <alignment horizontal="center" vertical="center"/>
    </xf>
    <xf numFmtId="0" fontId="12" fillId="5" borderId="0" xfId="0" applyFont="1" applyFill="1" applyAlignment="1">
      <alignment horizontal="center" vertical="center"/>
    </xf>
    <xf numFmtId="0" fontId="0" fillId="3" borderId="0" xfId="0" applyFill="1" applyAlignment="1">
      <alignment horizontal="center"/>
    </xf>
    <xf numFmtId="0" fontId="14" fillId="0" borderId="0" xfId="0" applyFont="1" applyAlignment="1">
      <alignment horizontal="center"/>
    </xf>
    <xf numFmtId="0" fontId="0" fillId="0" borderId="0" xfId="0" applyAlignment="1">
      <alignment horizontal="center"/>
    </xf>
  </cellXfs>
  <cellStyles count="1">
    <cellStyle name="Normal" xfId="0" builtinId="0"/>
  </cellStyles>
  <dxfs count="60">
    <dxf>
      <font>
        <b val="0"/>
        <i val="0"/>
        <color theme="1" tint="0.24994659260841701"/>
      </font>
      <border>
        <left/>
        <right/>
        <top/>
        <bottom/>
        <vertical/>
        <horizontal/>
      </border>
    </dxf>
    <dxf>
      <font>
        <b val="0"/>
        <i val="0"/>
        <color rgb="FFFF0000"/>
      </font>
      <border>
        <left/>
        <right/>
        <top/>
        <bottom/>
        <vertical/>
        <horizontal/>
      </border>
    </dxf>
    <dxf>
      <font>
        <b val="0"/>
        <i val="0"/>
        <color theme="8"/>
      </font>
      <border>
        <left/>
        <right/>
        <top/>
        <bottom/>
        <vertical/>
        <horizontal/>
      </border>
    </dxf>
    <dxf>
      <font>
        <b val="0"/>
        <i val="0"/>
        <u val="none"/>
        <color rgb="FFC00000"/>
      </font>
      <border>
        <left/>
        <right/>
        <top/>
        <bottom/>
        <vertical/>
        <horizontal/>
      </border>
    </dxf>
    <dxf>
      <font>
        <b val="0"/>
        <i val="0"/>
        <color rgb="FF00B050"/>
      </font>
      <border>
        <left/>
        <right/>
        <top/>
        <bottom/>
        <vertical/>
        <horizontal/>
      </border>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6"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6"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6"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6"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i val="0"/>
        <strike val="0"/>
        <condense val="0"/>
        <extend val="0"/>
        <outline val="0"/>
        <shadow val="0"/>
        <u val="none"/>
        <vertAlign val="baseline"/>
        <sz val="12"/>
        <color theme="1" tint="0.249977111117893"/>
        <name val="Arial"/>
        <family val="2"/>
        <scheme val="none"/>
      </font>
      <numFmt numFmtId="3" formatCode="#,##0"/>
      <alignment horizontal="center" vertical="center" textRotation="0" wrapText="0" indent="0" justifyLastLine="0" shrinkToFit="0" readingOrder="0"/>
    </dxf>
    <dxf>
      <font>
        <b/>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solid">
          <fgColor indexed="64"/>
          <bgColor rgb="FF1F4E79"/>
        </patternFill>
      </fill>
      <alignment horizontal="center" vertical="center" textRotation="0" wrapText="1" indent="0" justifyLastLine="0" shrinkToFit="0" readingOrder="0"/>
    </dxf>
    <dxf>
      <font>
        <color theme="1"/>
      </font>
    </dxf>
  </dxfs>
  <tableStyles count="1" defaultTableStyle="TableStyleMedium2" defaultPivotStyle="PivotStyleLight16">
    <tableStyle name="Slicer Style 1" pivot="0" table="0" count="1" xr9:uid="{49B1F251-FED5-4DD4-87A4-78549E74206E}">
      <tableStyleElement type="headerRow" dxfId="5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[projectexcel.xlsx]Sheet5!PivotTable3</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trend</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Sheet5!$A$4:$A$7</c:f>
              <c:strCache>
                <c:ptCount val="3"/>
                <c:pt idx="0">
                  <c:v>May</c:v>
                </c:pt>
                <c:pt idx="1">
                  <c:v>Jun</c:v>
                </c:pt>
                <c:pt idx="2">
                  <c:v>Jul</c:v>
                </c:pt>
              </c:strCache>
            </c:strRef>
          </c:cat>
          <c:val>
            <c:numRef>
              <c:f>Sheet5!$B$4:$B$7</c:f>
              <c:numCache>
                <c:formatCode>General</c:formatCode>
                <c:ptCount val="3"/>
                <c:pt idx="0">
                  <c:v>25</c:v>
                </c:pt>
                <c:pt idx="1">
                  <c:v>30</c:v>
                </c:pt>
                <c:pt idx="2">
                  <c:v>17</c:v>
                </c:pt>
              </c:numCache>
            </c:numRef>
          </c:val>
          <c:smooth val="0"/>
          <c:extLst>
            <c:ext xmlns:c16="http://schemas.microsoft.com/office/drawing/2014/chart" uri="{C3380CC4-5D6E-409C-BE32-E72D297353CC}">
              <c16:uniqueId val="{00000000-F9BE-4DDF-AFDB-14A89B62CF3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2957103"/>
        <c:axId val="1541550639"/>
      </c:lineChart>
      <c:catAx>
        <c:axId val="153295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41550639"/>
        <c:crosses val="autoZero"/>
        <c:auto val="1"/>
        <c:lblAlgn val="ctr"/>
        <c:lblOffset val="100"/>
        <c:noMultiLvlLbl val="0"/>
      </c:catAx>
      <c:valAx>
        <c:axId val="1541550639"/>
        <c:scaling>
          <c:orientation val="minMax"/>
        </c:scaling>
        <c:delete val="1"/>
        <c:axPos val="l"/>
        <c:numFmt formatCode="General" sourceLinked="1"/>
        <c:majorTickMark val="none"/>
        <c:minorTickMark val="none"/>
        <c:tickLblPos val="nextTo"/>
        <c:crossAx val="153295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[projectexcel.xlsx]Sheet4!PivotTable1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project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762182852143484"/>
          <c:y val="0.18458114610673665"/>
          <c:w val="0.43445672886779563"/>
          <c:h val="0.65392456097626972"/>
        </c:manualLayout>
      </c:layout>
      <c:doughnutChart>
        <c:varyColors val="1"/>
        <c:ser>
          <c:idx val="0"/>
          <c:order val="0"/>
          <c:tx>
            <c:strRef>
              <c:f>Sheet4!$Y$6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A05-4F07-8FFA-3A6F4BC69C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09-4403-A29B-6792046054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Sheet4!$X$7:$X$9</c:f>
              <c:strCache>
                <c:ptCount val="2"/>
                <c:pt idx="0">
                  <c:v>Active</c:v>
                </c:pt>
                <c:pt idx="1">
                  <c:v>Not Active</c:v>
                </c:pt>
              </c:strCache>
            </c:strRef>
          </c:cat>
          <c:val>
            <c:numRef>
              <c:f>Sheet4!$Y$7:$Y$9</c:f>
              <c:numCache>
                <c:formatCode>General</c:formatCode>
                <c:ptCount val="2"/>
                <c:pt idx="0">
                  <c:v>21</c:v>
                </c:pt>
                <c:pt idx="1">
                  <c:v>1</c:v>
                </c:pt>
              </c:numCache>
            </c:numRef>
          </c:val>
          <c:extLst>
            <c:ext xmlns:c16="http://schemas.microsoft.com/office/drawing/2014/chart" uri="{C3380CC4-5D6E-409C-BE32-E72D297353CC}">
              <c16:uniqueId val="{00000000-CA05-4F07-8FFA-3A6F4BC69C5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by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Ali Adam</c:v>
                </c:pt>
                <c:pt idx="1">
                  <c:v>Eddy Verly</c:v>
                </c:pt>
                <c:pt idx="2">
                  <c:v>Jean Zac</c:v>
                </c:pt>
                <c:pt idx="3">
                  <c:v>Suzan Mike</c:v>
                </c:pt>
              </c:strCache>
            </c:strRef>
          </c:cat>
          <c:val>
            <c:numRef>
              <c:f>Sheet3!$B$4:$B$8</c:f>
              <c:numCache>
                <c:formatCode>General</c:formatCode>
                <c:ptCount val="4"/>
                <c:pt idx="0">
                  <c:v>30</c:v>
                </c:pt>
                <c:pt idx="1">
                  <c:v>10</c:v>
                </c:pt>
                <c:pt idx="2">
                  <c:v>8</c:v>
                </c:pt>
                <c:pt idx="3">
                  <c:v>24</c:v>
                </c:pt>
              </c:numCache>
            </c:numRef>
          </c:val>
          <c:extLst>
            <c:ext xmlns:c16="http://schemas.microsoft.com/office/drawing/2014/chart" uri="{C3380CC4-5D6E-409C-BE32-E72D297353CC}">
              <c16:uniqueId val="{00000000-3F6F-4400-A15C-1890115CE66D}"/>
            </c:ext>
          </c:extLst>
        </c:ser>
        <c:dLbls>
          <c:dLblPos val="ctr"/>
          <c:showLegendKey val="0"/>
          <c:showVal val="1"/>
          <c:showCatName val="0"/>
          <c:showSerName val="0"/>
          <c:showPercent val="0"/>
          <c:showBubbleSize val="0"/>
        </c:dLbls>
        <c:gapWidth val="150"/>
        <c:overlap val="100"/>
        <c:axId val="654414224"/>
        <c:axId val="654414704"/>
      </c:barChart>
      <c:catAx>
        <c:axId val="6544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14704"/>
        <c:crosses val="autoZero"/>
        <c:auto val="1"/>
        <c:lblAlgn val="ctr"/>
        <c:lblOffset val="100"/>
        <c:noMultiLvlLbl val="0"/>
      </c:catAx>
      <c:valAx>
        <c:axId val="6544147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5441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[projectexcel.xlsx]Sheet4!PivotTable1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 status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84982687023277"/>
          <c:y val="0.23075763725410611"/>
          <c:w val="0.43445672886779563"/>
          <c:h val="0.65392456097626972"/>
        </c:manualLayout>
      </c:layout>
      <c:doughnutChart>
        <c:varyColors val="1"/>
        <c:ser>
          <c:idx val="0"/>
          <c:order val="0"/>
          <c:tx>
            <c:strRef>
              <c:f>Sheet4!$Y$6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33-4E8F-A815-722D588EFA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33-4E8F-A815-722D588EF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Sheet4!$X$7:$X$9</c:f>
              <c:strCache>
                <c:ptCount val="2"/>
                <c:pt idx="0">
                  <c:v>Active</c:v>
                </c:pt>
                <c:pt idx="1">
                  <c:v>Not Active</c:v>
                </c:pt>
              </c:strCache>
            </c:strRef>
          </c:cat>
          <c:val>
            <c:numRef>
              <c:f>Sheet4!$Y$7:$Y$9</c:f>
              <c:numCache>
                <c:formatCode>General</c:formatCode>
                <c:ptCount val="2"/>
                <c:pt idx="0">
                  <c:v>21</c:v>
                </c:pt>
                <c:pt idx="1">
                  <c:v>1</c:v>
                </c:pt>
              </c:numCache>
            </c:numRef>
          </c:val>
          <c:extLst>
            <c:ext xmlns:c16="http://schemas.microsoft.com/office/drawing/2014/chart" uri="{C3380CC4-5D6E-409C-BE32-E72D297353CC}">
              <c16:uniqueId val="{00000004-5633-4E8F-A815-722D588EFAA2}"/>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[projectexcel.xlsx]Sheet2!PivotTable3</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 value</a:t>
            </a:r>
          </a:p>
        </c:rich>
      </c:tx>
      <c:layout>
        <c:manualLayout>
          <c:xMode val="edge"/>
          <c:yMode val="edge"/>
          <c:x val="0.38761984924707132"/>
          <c:y val="4.603565205498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031466381726516"/>
          <c:y val="0.25627527513996379"/>
          <c:w val="0.53968533618273484"/>
          <c:h val="0.74372472486003627"/>
        </c:manualLayout>
      </c:layout>
      <c:bar3DChart>
        <c:barDir val="bar"/>
        <c:grouping val="stacked"/>
        <c:varyColors val="0"/>
        <c:ser>
          <c:idx val="0"/>
          <c:order val="0"/>
          <c:tx>
            <c:strRef>
              <c:f>Sheet2!$B$20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Sheet2!$A$21:$A$26</c:f>
              <c:strCache>
                <c:ptCount val="5"/>
                <c:pt idx="0">
                  <c:v>Client</c:v>
                </c:pt>
                <c:pt idx="1">
                  <c:v>Client - Global</c:v>
                </c:pt>
                <c:pt idx="2">
                  <c:v>Fast Path</c:v>
                </c:pt>
                <c:pt idx="3">
                  <c:v>IT</c:v>
                </c:pt>
                <c:pt idx="4">
                  <c:v>Security</c:v>
                </c:pt>
              </c:strCache>
            </c:strRef>
          </c:cat>
          <c:val>
            <c:numRef>
              <c:f>Sheet2!$B$21:$B$26</c:f>
              <c:numCache>
                <c:formatCode>#,##0</c:formatCode>
                <c:ptCount val="5"/>
                <c:pt idx="0">
                  <c:v>3248781</c:v>
                </c:pt>
                <c:pt idx="1">
                  <c:v>4935453</c:v>
                </c:pt>
                <c:pt idx="2">
                  <c:v>3723117</c:v>
                </c:pt>
                <c:pt idx="3">
                  <c:v>12212894</c:v>
                </c:pt>
                <c:pt idx="4">
                  <c:v>3072648</c:v>
                </c:pt>
              </c:numCache>
            </c:numRef>
          </c:val>
          <c:extLst>
            <c:ext xmlns:c16="http://schemas.microsoft.com/office/drawing/2014/chart" uri="{C3380CC4-5D6E-409C-BE32-E72D297353CC}">
              <c16:uniqueId val="{00000000-2BFB-4D61-A017-C7EB34A2FC04}"/>
            </c:ext>
          </c:extLst>
        </c:ser>
        <c:dLbls>
          <c:showLegendKey val="0"/>
          <c:showVal val="1"/>
          <c:showCatName val="0"/>
          <c:showSerName val="0"/>
          <c:showPercent val="0"/>
          <c:showBubbleSize val="0"/>
        </c:dLbls>
        <c:gapWidth val="150"/>
        <c:shape val="box"/>
        <c:axId val="1730844159"/>
        <c:axId val="1730842719"/>
        <c:axId val="0"/>
      </c:bar3DChart>
      <c:catAx>
        <c:axId val="173084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842719"/>
        <c:crosses val="autoZero"/>
        <c:auto val="1"/>
        <c:lblAlgn val="ctr"/>
        <c:lblOffset val="100"/>
        <c:noMultiLvlLbl val="0"/>
      </c:catAx>
      <c:valAx>
        <c:axId val="1730842719"/>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8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[projectexcel.xlsx]Sheet5!PivotTable3</c:name>
    <c:fmtId val="4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trend</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a:outerShdw dist="25400" dir="2700000" algn="tl" rotWithShape="0">
              <a:schemeClr val="accent1"/>
            </a:outerShdw>
          </a:effectLst>
        </c:spPr>
        <c:marker>
          <c:symbol val="circle"/>
          <c:size val="14"/>
          <c:spPr>
            <a:solidFill>
              <a:schemeClr val="dk1">
                <a:tint val="88500"/>
              </a:schemeClr>
            </a:solidFill>
            <a:ln>
              <a:noFill/>
            </a:ln>
            <a:effectLst/>
          </c:spPr>
        </c:marker>
        <c:dLbl>
          <c:idx val="0"/>
          <c:spPr>
            <a:solidFill>
              <a:schemeClr val="dk1">
                <a:tint val="885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a:outerShdw dist="25400" dir="2700000" algn="tl" rotWithShape="0">
              <a:schemeClr val="accent1"/>
            </a:outerShdw>
          </a:effectLst>
        </c:spPr>
        <c:marker>
          <c:symbol val="circle"/>
          <c:size val="14"/>
          <c:spPr>
            <a:solidFill>
              <a:schemeClr val="dk1">
                <a:tint val="88500"/>
              </a:schemeClr>
            </a:solidFill>
            <a:ln>
              <a:noFill/>
            </a:ln>
            <a:effectLst/>
          </c:spPr>
        </c:marker>
        <c:dLbl>
          <c:idx val="0"/>
          <c:spPr>
            <a:solidFill>
              <a:schemeClr val="dk1">
                <a:tint val="885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chemeClr val="dk1">
                <a:tint val="885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solidFill>
                <a:schemeClr val="dk1">
                  <a:tint val="885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Sheet5!$A$4:$A$7</c:f>
              <c:strCache>
                <c:ptCount val="3"/>
                <c:pt idx="0">
                  <c:v>May</c:v>
                </c:pt>
                <c:pt idx="1">
                  <c:v>Jun</c:v>
                </c:pt>
                <c:pt idx="2">
                  <c:v>Jul</c:v>
                </c:pt>
              </c:strCache>
            </c:strRef>
          </c:cat>
          <c:val>
            <c:numRef>
              <c:f>Sheet5!$B$4:$B$7</c:f>
              <c:numCache>
                <c:formatCode>General</c:formatCode>
                <c:ptCount val="3"/>
                <c:pt idx="0">
                  <c:v>25</c:v>
                </c:pt>
                <c:pt idx="1">
                  <c:v>30</c:v>
                </c:pt>
                <c:pt idx="2">
                  <c:v>17</c:v>
                </c:pt>
              </c:numCache>
            </c:numRef>
          </c:val>
          <c:smooth val="0"/>
          <c:extLst>
            <c:ext xmlns:c16="http://schemas.microsoft.com/office/drawing/2014/chart" uri="{C3380CC4-5D6E-409C-BE32-E72D297353CC}">
              <c16:uniqueId val="{00000000-F7A7-400C-8507-78F50D90958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2957103"/>
        <c:axId val="1541550639"/>
      </c:lineChart>
      <c:catAx>
        <c:axId val="153295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41550639"/>
        <c:crosses val="autoZero"/>
        <c:auto val="1"/>
        <c:lblAlgn val="ctr"/>
        <c:lblOffset val="100"/>
        <c:noMultiLvlLbl val="0"/>
      </c:catAx>
      <c:valAx>
        <c:axId val="1541550639"/>
        <c:scaling>
          <c:orientation val="minMax"/>
        </c:scaling>
        <c:delete val="1"/>
        <c:axPos val="l"/>
        <c:numFmt formatCode="General" sourceLinked="1"/>
        <c:majorTickMark val="none"/>
        <c:minorTickMark val="none"/>
        <c:tickLblPos val="nextTo"/>
        <c:crossAx val="153295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[projectexcel.xlsx]Sheet3!PivotTable6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by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Ali Adam</c:v>
                </c:pt>
                <c:pt idx="1">
                  <c:v>Eddy Verly</c:v>
                </c:pt>
                <c:pt idx="2">
                  <c:v>Jean Zac</c:v>
                </c:pt>
                <c:pt idx="3">
                  <c:v>Suzan Mike</c:v>
                </c:pt>
              </c:strCache>
            </c:strRef>
          </c:cat>
          <c:val>
            <c:numRef>
              <c:f>Sheet3!$B$4:$B$8</c:f>
              <c:numCache>
                <c:formatCode>General</c:formatCode>
                <c:ptCount val="4"/>
                <c:pt idx="0">
                  <c:v>30</c:v>
                </c:pt>
                <c:pt idx="1">
                  <c:v>10</c:v>
                </c:pt>
                <c:pt idx="2">
                  <c:v>8</c:v>
                </c:pt>
                <c:pt idx="3">
                  <c:v>24</c:v>
                </c:pt>
              </c:numCache>
            </c:numRef>
          </c:val>
          <c:extLst>
            <c:ext xmlns:c16="http://schemas.microsoft.com/office/drawing/2014/chart" uri="{C3380CC4-5D6E-409C-BE32-E72D297353CC}">
              <c16:uniqueId val="{00000000-8DC0-4A7C-9FFB-3113983C0DCB}"/>
            </c:ext>
          </c:extLst>
        </c:ser>
        <c:dLbls>
          <c:dLblPos val="ctr"/>
          <c:showLegendKey val="0"/>
          <c:showVal val="1"/>
          <c:showCatName val="0"/>
          <c:showSerName val="0"/>
          <c:showPercent val="0"/>
          <c:showBubbleSize val="0"/>
        </c:dLbls>
        <c:gapWidth val="150"/>
        <c:overlap val="100"/>
        <c:axId val="654414224"/>
        <c:axId val="654414704"/>
      </c:barChart>
      <c:catAx>
        <c:axId val="6544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14704"/>
        <c:crosses val="autoZero"/>
        <c:auto val="1"/>
        <c:lblAlgn val="ctr"/>
        <c:lblOffset val="100"/>
        <c:noMultiLvlLbl val="0"/>
      </c:catAx>
      <c:valAx>
        <c:axId val="6544147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5441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[projectexcel.xlsx]Sheet2!PivotTable3</c:name>
    <c:fmtId val="2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latin typeface="ADLaM Display" panose="020F0502020204030204" pitchFamily="2" charset="0"/>
                <a:ea typeface="ADLaM Display" panose="020F0502020204030204" pitchFamily="2" charset="0"/>
                <a:cs typeface="ADLaM Display" panose="020F0502020204030204" pitchFamily="2" charset="0"/>
              </a:rPr>
              <a:t>project</a:t>
            </a:r>
            <a:r>
              <a:rPr lang="en-US" baseline="0">
                <a:latin typeface="ADLaM Display" panose="020F0502020204030204" pitchFamily="2" charset="0"/>
                <a:ea typeface="ADLaM Display" panose="020F0502020204030204" pitchFamily="2" charset="0"/>
                <a:cs typeface="ADLaM Display" panose="020F0502020204030204" pitchFamily="2" charset="0"/>
              </a:rPr>
              <a:t> value</a:t>
            </a:r>
            <a:endParaRPr lang="en-US">
              <a:latin typeface="ADLaM Display" panose="020F0502020204030204" pitchFamily="2" charset="0"/>
              <a:ea typeface="ADLaM Display" panose="020F0502020204030204" pitchFamily="2" charset="0"/>
              <a:cs typeface="ADLaM Display" panose="020F0502020204030204" pitchFamily="2"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Sheet2!$A$21:$A$26</c:f>
              <c:strCache>
                <c:ptCount val="5"/>
                <c:pt idx="0">
                  <c:v>Client</c:v>
                </c:pt>
                <c:pt idx="1">
                  <c:v>Client - Global</c:v>
                </c:pt>
                <c:pt idx="2">
                  <c:v>Fast Path</c:v>
                </c:pt>
                <c:pt idx="3">
                  <c:v>IT</c:v>
                </c:pt>
                <c:pt idx="4">
                  <c:v>Security</c:v>
                </c:pt>
              </c:strCache>
            </c:strRef>
          </c:cat>
          <c:val>
            <c:numRef>
              <c:f>Sheet2!$B$21:$B$26</c:f>
              <c:numCache>
                <c:formatCode>#,##0</c:formatCode>
                <c:ptCount val="5"/>
                <c:pt idx="0">
                  <c:v>3248781</c:v>
                </c:pt>
                <c:pt idx="1">
                  <c:v>4935453</c:v>
                </c:pt>
                <c:pt idx="2">
                  <c:v>3723117</c:v>
                </c:pt>
                <c:pt idx="3">
                  <c:v>12212894</c:v>
                </c:pt>
                <c:pt idx="4">
                  <c:v>3072648</c:v>
                </c:pt>
              </c:numCache>
            </c:numRef>
          </c:val>
          <c:extLst>
            <c:ext xmlns:c16="http://schemas.microsoft.com/office/drawing/2014/chart" uri="{C3380CC4-5D6E-409C-BE32-E72D297353CC}">
              <c16:uniqueId val="{00000000-381C-4414-990A-A926B36AF905}"/>
            </c:ext>
          </c:extLst>
        </c:ser>
        <c:dLbls>
          <c:showLegendKey val="0"/>
          <c:showVal val="1"/>
          <c:showCatName val="0"/>
          <c:showSerName val="0"/>
          <c:showPercent val="0"/>
          <c:showBubbleSize val="0"/>
        </c:dLbls>
        <c:gapWidth val="79"/>
        <c:shape val="box"/>
        <c:axId val="1730844159"/>
        <c:axId val="1730842719"/>
        <c:axId val="0"/>
      </c:bar3DChart>
      <c:catAx>
        <c:axId val="173084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30842719"/>
        <c:crosses val="autoZero"/>
        <c:auto val="1"/>
        <c:lblAlgn val="ctr"/>
        <c:lblOffset val="100"/>
        <c:noMultiLvlLbl val="0"/>
      </c:catAx>
      <c:valAx>
        <c:axId val="1730842719"/>
        <c:scaling>
          <c:orientation val="minMax"/>
        </c:scaling>
        <c:delete val="1"/>
        <c:axPos val="b"/>
        <c:numFmt formatCode="#,##0" sourceLinked="1"/>
        <c:majorTickMark val="none"/>
        <c:minorTickMark val="none"/>
        <c:tickLblPos val="nextTo"/>
        <c:crossAx val="17308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emf"/><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510540</xdr:colOff>
      <xdr:row>21</xdr:row>
      <xdr:rowOff>41910</xdr:rowOff>
    </xdr:to>
    <xdr:graphicFrame macro="">
      <xdr:nvGraphicFramePr>
        <xdr:cNvPr id="2" name="Chart 1">
          <a:extLst>
            <a:ext uri="{FF2B5EF4-FFF2-40B4-BE49-F238E27FC236}">
              <a16:creationId xmlns:a16="http://schemas.microsoft.com/office/drawing/2014/main" id="{3A801CD9-581D-0DFB-3A14-C798C3282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18</xdr:row>
      <xdr:rowOff>129541</xdr:rowOff>
    </xdr:from>
    <xdr:to>
      <xdr:col>1</xdr:col>
      <xdr:colOff>990600</xdr:colOff>
      <xdr:row>26</xdr:row>
      <xdr:rowOff>137161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8602886-3230-9E19-C36A-E38A709733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40" y="3421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1386840</xdr:colOff>
      <xdr:row>22</xdr:row>
      <xdr:rowOff>106680</xdr:rowOff>
    </xdr:from>
    <xdr:to>
      <xdr:col>4</xdr:col>
      <xdr:colOff>533400</xdr:colOff>
      <xdr:row>36</xdr:row>
      <xdr:rowOff>127635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4CE08986-A4B5-666B-63E0-048AE2984E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40280" y="413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396240</xdr:colOff>
      <xdr:row>17</xdr:row>
      <xdr:rowOff>91441</xdr:rowOff>
    </xdr:from>
    <xdr:to>
      <xdr:col>17</xdr:col>
      <xdr:colOff>396240</xdr:colOff>
      <xdr:row>23</xdr:row>
      <xdr:rowOff>68581</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9048BA61-88AD-10B7-9F38-D55814DB3A4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027920" y="3200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20</xdr:row>
      <xdr:rowOff>7620</xdr:rowOff>
    </xdr:from>
    <xdr:to>
      <xdr:col>21</xdr:col>
      <xdr:colOff>76200</xdr:colOff>
      <xdr:row>34</xdr:row>
      <xdr:rowOff>28575</xdr:rowOff>
    </xdr:to>
    <mc:AlternateContent xmlns:mc="http://schemas.openxmlformats.org/markup-compatibility/2006" xmlns:a14="http://schemas.microsoft.com/office/drawing/2010/main">
      <mc:Choice Requires="a14">
        <xdr:graphicFrame macro="">
          <xdr:nvGraphicFramePr>
            <xdr:cNvPr id="6" name="Project Type">
              <a:extLst>
                <a:ext uri="{FF2B5EF4-FFF2-40B4-BE49-F238E27FC236}">
                  <a16:creationId xmlns:a16="http://schemas.microsoft.com/office/drawing/2014/main" id="{D1A1D960-FA48-2FC2-E847-F56D90925D10}"/>
                </a:ext>
              </a:extLst>
            </xdr:cNvPr>
            <xdr:cNvGraphicFramePr/>
          </xdr:nvGraphicFramePr>
          <xdr:xfrm>
            <a:off x="0" y="0"/>
            <a:ext cx="0" cy="0"/>
          </xdr:xfrm>
          <a:graphic>
            <a:graphicData uri="http://schemas.microsoft.com/office/drawing/2010/slicer">
              <sle:slicer xmlns:sle="http://schemas.microsoft.com/office/drawing/2010/slicer" name="Project Type"/>
            </a:graphicData>
          </a:graphic>
        </xdr:graphicFrame>
      </mc:Choice>
      <mc:Fallback xmlns="">
        <xdr:sp macro="" textlink="">
          <xdr:nvSpPr>
            <xdr:cNvPr id="0" name=""/>
            <xdr:cNvSpPr>
              <a:spLocks noTextEdit="1"/>
            </xdr:cNvSpPr>
          </xdr:nvSpPr>
          <xdr:spPr>
            <a:xfrm>
              <a:off x="12146280" y="3665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594360</xdr:colOff>
      <xdr:row>28</xdr:row>
      <xdr:rowOff>15240</xdr:rowOff>
    </xdr:from>
    <xdr:to>
      <xdr:col>9</xdr:col>
      <xdr:colOff>594360</xdr:colOff>
      <xdr:row>42</xdr:row>
      <xdr:rowOff>36195</xdr:rowOff>
    </xdr:to>
    <mc:AlternateContent xmlns:mc="http://schemas.openxmlformats.org/markup-compatibility/2006" xmlns:a14="http://schemas.microsoft.com/office/drawing/2010/main">
      <mc:Choice Requires="a14">
        <xdr:graphicFrame macro="">
          <xdr:nvGraphicFramePr>
            <xdr:cNvPr id="7" name="Priority">
              <a:extLst>
                <a:ext uri="{FF2B5EF4-FFF2-40B4-BE49-F238E27FC236}">
                  <a16:creationId xmlns:a16="http://schemas.microsoft.com/office/drawing/2014/main" id="{2B8EED13-A208-277E-E2FA-B2136274736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5349240" y="5135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33</xdr:row>
      <xdr:rowOff>53341</xdr:rowOff>
    </xdr:from>
    <xdr:to>
      <xdr:col>1</xdr:col>
      <xdr:colOff>1043940</xdr:colOff>
      <xdr:row>38</xdr:row>
      <xdr:rowOff>30481</xdr:rowOff>
    </xdr:to>
    <mc:AlternateContent xmlns:mc="http://schemas.openxmlformats.org/markup-compatibility/2006" xmlns:a14="http://schemas.microsoft.com/office/drawing/2010/main">
      <mc:Choice Requires="a14">
        <xdr:graphicFrame macro="">
          <xdr:nvGraphicFramePr>
            <xdr:cNvPr id="8" name="Project Manager">
              <a:extLst>
                <a:ext uri="{FF2B5EF4-FFF2-40B4-BE49-F238E27FC236}">
                  <a16:creationId xmlns:a16="http://schemas.microsoft.com/office/drawing/2014/main" id="{9CE40D3E-3BA0-DACA-3AE6-AE598A4AA9EE}"/>
                </a:ext>
              </a:extLst>
            </xdr:cNvPr>
            <xdr:cNvGraphicFramePr/>
          </xdr:nvGraphicFramePr>
          <xdr:xfrm>
            <a:off x="0" y="0"/>
            <a:ext cx="0" cy="0"/>
          </xdr:xfrm>
          <a:graphic>
            <a:graphicData uri="http://schemas.microsoft.com/office/drawing/2010/slicer">
              <sle:slicer xmlns:sle="http://schemas.microsoft.com/office/drawing/2010/slicer" name="Project Manager"/>
            </a:graphicData>
          </a:graphic>
        </xdr:graphicFrame>
      </mc:Choice>
      <mc:Fallback xmlns="">
        <xdr:sp macro="" textlink="">
          <xdr:nvSpPr>
            <xdr:cNvPr id="0" name=""/>
            <xdr:cNvSpPr>
              <a:spLocks noTextEdit="1"/>
            </xdr:cNvSpPr>
          </xdr:nvSpPr>
          <xdr:spPr>
            <a:xfrm>
              <a:off x="68580" y="6088381"/>
              <a:ext cx="18288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22860</xdr:colOff>
      <xdr:row>6</xdr:row>
      <xdr:rowOff>30480</xdr:rowOff>
    </xdr:from>
    <xdr:to>
      <xdr:col>19</xdr:col>
      <xdr:colOff>838200</xdr:colOff>
      <xdr:row>26</xdr:row>
      <xdr:rowOff>68580</xdr:rowOff>
    </xdr:to>
    <xdr:graphicFrame macro="">
      <xdr:nvGraphicFramePr>
        <xdr:cNvPr id="2" name="Chart 1">
          <a:extLst>
            <a:ext uri="{FF2B5EF4-FFF2-40B4-BE49-F238E27FC236}">
              <a16:creationId xmlns:a16="http://schemas.microsoft.com/office/drawing/2014/main" id="{50FE0F59-8939-A3E7-800D-DC119E13C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28</xdr:row>
      <xdr:rowOff>152400</xdr:rowOff>
    </xdr:from>
    <xdr:to>
      <xdr:col>8</xdr:col>
      <xdr:colOff>7620</xdr:colOff>
      <xdr:row>30</xdr:row>
      <xdr:rowOff>137160</xdr:rowOff>
    </xdr:to>
    <xdr:sp macro="" textlink="">
      <xdr:nvSpPr>
        <xdr:cNvPr id="3" name="TextBox 2">
          <a:extLst>
            <a:ext uri="{FF2B5EF4-FFF2-40B4-BE49-F238E27FC236}">
              <a16:creationId xmlns:a16="http://schemas.microsoft.com/office/drawing/2014/main" id="{82F015DC-0EE3-C514-17FB-5CB0E23254B9}"/>
            </a:ext>
          </a:extLst>
        </xdr:cNvPr>
        <xdr:cNvSpPr txBox="1"/>
      </xdr:nvSpPr>
      <xdr:spPr>
        <a:xfrm>
          <a:off x="2407920" y="5273040"/>
          <a:ext cx="2750820" cy="35052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lgerian" panose="04020705040A02060702" pitchFamily="82" charset="0"/>
            </a:rPr>
            <a:t>TOTAL</a:t>
          </a:r>
          <a:r>
            <a:rPr lang="en-US" sz="2000" baseline="0">
              <a:solidFill>
                <a:schemeClr val="bg1"/>
              </a:solidFill>
              <a:latin typeface="Algerian" panose="04020705040A02060702" pitchFamily="82" charset="0"/>
            </a:rPr>
            <a:t> PROJECT = 72</a:t>
          </a:r>
          <a:endParaRPr lang="en-US" sz="2000">
            <a:solidFill>
              <a:schemeClr val="bg1"/>
            </a:solidFill>
            <a:latin typeface="Algerian" panose="04020705040A02060702" pitchFamily="82" charset="0"/>
          </a:endParaRPr>
        </a:p>
      </xdr:txBody>
    </xdr:sp>
    <xdr:clientData/>
  </xdr:twoCellAnchor>
  <xdr:twoCellAnchor>
    <xdr:from>
      <xdr:col>16</xdr:col>
      <xdr:colOff>22634</xdr:colOff>
      <xdr:row>30</xdr:row>
      <xdr:rowOff>128258</xdr:rowOff>
    </xdr:from>
    <xdr:to>
      <xdr:col>18</xdr:col>
      <xdr:colOff>799722</xdr:colOff>
      <xdr:row>33</xdr:row>
      <xdr:rowOff>128258</xdr:rowOff>
    </xdr:to>
    <xdr:sp macro="" textlink="">
      <xdr:nvSpPr>
        <xdr:cNvPr id="4" name="TextBox 3">
          <a:extLst>
            <a:ext uri="{FF2B5EF4-FFF2-40B4-BE49-F238E27FC236}">
              <a16:creationId xmlns:a16="http://schemas.microsoft.com/office/drawing/2014/main" id="{16D510A7-690E-9A1D-A71B-28CCFDC1B1FB}"/>
            </a:ext>
          </a:extLst>
        </xdr:cNvPr>
        <xdr:cNvSpPr txBox="1"/>
      </xdr:nvSpPr>
      <xdr:spPr>
        <a:xfrm>
          <a:off x="10177604" y="5560337"/>
          <a:ext cx="2059663" cy="543208"/>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Algerian" panose="04020705040A02060702" pitchFamily="82" charset="0"/>
              <a:ea typeface="+mn-ea"/>
              <a:cs typeface="+mn-cs"/>
            </a:rPr>
            <a:t>      </a:t>
          </a:r>
          <a:r>
            <a:rPr lang="en-US" sz="1100">
              <a:solidFill>
                <a:schemeClr val="bg1"/>
              </a:solidFill>
              <a:effectLst/>
              <a:latin typeface="Algerian" panose="04020705040A02060702" pitchFamily="82" charset="0"/>
              <a:ea typeface="+mn-ea"/>
              <a:cs typeface="+mn-cs"/>
            </a:rPr>
            <a:t>Active</a:t>
          </a:r>
          <a:r>
            <a:rPr lang="en-US" sz="1100" baseline="0">
              <a:solidFill>
                <a:schemeClr val="bg1"/>
              </a:solidFill>
              <a:effectLst/>
              <a:latin typeface="Algerian" panose="04020705040A02060702" pitchFamily="82" charset="0"/>
              <a:ea typeface="+mn-ea"/>
              <a:cs typeface="+mn-cs"/>
            </a:rPr>
            <a:t> project =52</a:t>
          </a:r>
        </a:p>
        <a:p>
          <a:r>
            <a:rPr lang="en-US" sz="1100" baseline="0">
              <a:solidFill>
                <a:schemeClr val="bg1"/>
              </a:solidFill>
              <a:effectLst/>
              <a:latin typeface="Algerian" panose="04020705040A02060702" pitchFamily="82" charset="0"/>
              <a:ea typeface="+mn-ea"/>
              <a:cs typeface="+mn-cs"/>
            </a:rPr>
            <a:t>       Non active project=19</a:t>
          </a:r>
        </a:p>
        <a:p>
          <a:r>
            <a:rPr lang="en-US" sz="1100" baseline="0">
              <a:solidFill>
                <a:schemeClr val="dk1"/>
              </a:solidFill>
              <a:effectLst/>
              <a:latin typeface="+mn-lt"/>
              <a:ea typeface="+mn-ea"/>
              <a:cs typeface="+mn-cs"/>
            </a:rPr>
            <a:t> PROJECT =53</a:t>
          </a:r>
          <a:endParaRPr lang="en-US" sz="1100">
            <a:effectLst/>
          </a:endParaRPr>
        </a:p>
        <a:p>
          <a:r>
            <a:rPr lang="en-US" sz="1100" baseline="0">
              <a:solidFill>
                <a:schemeClr val="dk1"/>
              </a:solidFill>
              <a:effectLst/>
              <a:latin typeface="+mn-lt"/>
              <a:ea typeface="+mn-ea"/>
              <a:cs typeface="+mn-cs"/>
            </a:rPr>
            <a:t>      NON ACTIVE PROJECT =19</a:t>
          </a:r>
          <a:endParaRPr lang="en-US" sz="1400">
            <a:effectLst/>
          </a:endParaRPr>
        </a:p>
        <a:p>
          <a:pPr marL="285750" indent="-285750" algn="ctr">
            <a:buFont typeface="Arial" panose="020B0604020202020204" pitchFamily="34" charset="0"/>
            <a:buChar char="•"/>
          </a:pPr>
          <a:endParaRPr lang="en-US" sz="1400" baseline="0">
            <a:solidFill>
              <a:schemeClr val="bg1"/>
            </a:solidFill>
            <a:latin typeface="+mn-lt"/>
          </a:endParaRPr>
        </a:p>
      </xdr:txBody>
    </xdr:sp>
    <xdr:clientData/>
  </xdr:twoCellAnchor>
  <xdr:twoCellAnchor>
    <xdr:from>
      <xdr:col>7</xdr:col>
      <xdr:colOff>304800</xdr:colOff>
      <xdr:row>39</xdr:row>
      <xdr:rowOff>106680</xdr:rowOff>
    </xdr:from>
    <xdr:to>
      <xdr:col>10</xdr:col>
      <xdr:colOff>548640</xdr:colOff>
      <xdr:row>41</xdr:row>
      <xdr:rowOff>30480</xdr:rowOff>
    </xdr:to>
    <xdr:sp macro="" textlink="">
      <xdr:nvSpPr>
        <xdr:cNvPr id="6" name="TextBox 5">
          <a:extLst>
            <a:ext uri="{FF2B5EF4-FFF2-40B4-BE49-F238E27FC236}">
              <a16:creationId xmlns:a16="http://schemas.microsoft.com/office/drawing/2014/main" id="{B4C1F97F-6836-FF60-F883-E1E4450A5CDD}"/>
            </a:ext>
          </a:extLst>
        </xdr:cNvPr>
        <xdr:cNvSpPr txBox="1"/>
      </xdr:nvSpPr>
      <xdr:spPr>
        <a:xfrm>
          <a:off x="4884420" y="7239000"/>
          <a:ext cx="1958340" cy="2895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95000"/>
                </a:schemeClr>
              </a:solidFill>
              <a:latin typeface="Algerian" panose="04020705040A02060702" pitchFamily="82" charset="0"/>
              <a:cs typeface="Arial" panose="020B0604020202020204" pitchFamily="34" charset="0"/>
            </a:rPr>
            <a:t>TOTAL</a:t>
          </a:r>
          <a:r>
            <a:rPr lang="en-US" sz="1400" baseline="0">
              <a:solidFill>
                <a:schemeClr val="bg1">
                  <a:lumMod val="95000"/>
                </a:schemeClr>
              </a:solidFill>
              <a:latin typeface="Algerian" panose="04020705040A02060702" pitchFamily="82" charset="0"/>
              <a:cs typeface="Arial" panose="020B0604020202020204" pitchFamily="34" charset="0"/>
            </a:rPr>
            <a:t> PROJECT=72</a:t>
          </a:r>
          <a:endParaRPr lang="en-US" sz="1400">
            <a:solidFill>
              <a:schemeClr val="bg1">
                <a:lumMod val="95000"/>
              </a:schemeClr>
            </a:solidFill>
            <a:latin typeface="Algerian" panose="04020705040A02060702" pitchFamily="82" charset="0"/>
            <a:cs typeface="Arial" panose="020B0604020202020204" pitchFamily="34" charset="0"/>
          </a:endParaRPr>
        </a:p>
      </xdr:txBody>
    </xdr:sp>
    <xdr:clientData/>
  </xdr:twoCellAnchor>
  <xdr:twoCellAnchor>
    <xdr:from>
      <xdr:col>6</xdr:col>
      <xdr:colOff>7546</xdr:colOff>
      <xdr:row>41</xdr:row>
      <xdr:rowOff>52811</xdr:rowOff>
    </xdr:from>
    <xdr:to>
      <xdr:col>11</xdr:col>
      <xdr:colOff>633744</xdr:colOff>
      <xdr:row>44</xdr:row>
      <xdr:rowOff>165979</xdr:rowOff>
    </xdr:to>
    <xdr:sp macro="" textlink="">
      <xdr:nvSpPr>
        <xdr:cNvPr id="7" name="TextBox 6">
          <a:extLst>
            <a:ext uri="{FF2B5EF4-FFF2-40B4-BE49-F238E27FC236}">
              <a16:creationId xmlns:a16="http://schemas.microsoft.com/office/drawing/2014/main" id="{7C8BEFAA-D65C-96A6-FDBC-410BC0A67EA7}"/>
            </a:ext>
          </a:extLst>
        </xdr:cNvPr>
        <xdr:cNvSpPr txBox="1"/>
      </xdr:nvSpPr>
      <xdr:spPr>
        <a:xfrm>
          <a:off x="4021249" y="7476653"/>
          <a:ext cx="3561030" cy="65637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ACTIVE PROJECT=52</a:t>
          </a:r>
        </a:p>
        <a:p>
          <a:r>
            <a:rPr lang="en-US" sz="1100">
              <a:solidFill>
                <a:schemeClr val="bg1"/>
              </a:solidFill>
            </a:rPr>
            <a:t>NON ACTIVE PROJECT=19</a:t>
          </a:r>
        </a:p>
      </xdr:txBody>
    </xdr:sp>
    <xdr:clientData/>
  </xdr:twoCellAnchor>
  <xdr:twoCellAnchor>
    <xdr:from>
      <xdr:col>14</xdr:col>
      <xdr:colOff>7544</xdr:colOff>
      <xdr:row>36</xdr:row>
      <xdr:rowOff>45266</xdr:rowOff>
    </xdr:from>
    <xdr:to>
      <xdr:col>17</xdr:col>
      <xdr:colOff>15090</xdr:colOff>
      <xdr:row>37</xdr:row>
      <xdr:rowOff>181068</xdr:rowOff>
    </xdr:to>
    <xdr:sp macro="" textlink="">
      <xdr:nvSpPr>
        <xdr:cNvPr id="8" name="TextBox 7">
          <a:extLst>
            <a:ext uri="{FF2B5EF4-FFF2-40B4-BE49-F238E27FC236}">
              <a16:creationId xmlns:a16="http://schemas.microsoft.com/office/drawing/2014/main" id="{C5B554DE-7444-AB83-9F59-A1FADC337B55}"/>
            </a:ext>
          </a:extLst>
        </xdr:cNvPr>
        <xdr:cNvSpPr txBox="1"/>
      </xdr:nvSpPr>
      <xdr:spPr>
        <a:xfrm>
          <a:off x="8879940" y="6563761"/>
          <a:ext cx="1931407" cy="31687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lgerian" panose="04020705040A02060702" pitchFamily="82" charset="0"/>
            </a:rPr>
            <a:t>Total</a:t>
          </a:r>
          <a:r>
            <a:rPr lang="en-US" sz="1400" baseline="0">
              <a:solidFill>
                <a:schemeClr val="bg1"/>
              </a:solidFill>
              <a:latin typeface="Algerian" panose="04020705040A02060702" pitchFamily="82" charset="0"/>
            </a:rPr>
            <a:t> project =72</a:t>
          </a:r>
          <a:endParaRPr lang="en-US" sz="1400">
            <a:solidFill>
              <a:schemeClr val="bg1"/>
            </a:solidFill>
            <a:latin typeface="Algerian" panose="04020705040A02060702" pitchFamily="8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5</xdr:row>
      <xdr:rowOff>72390</xdr:rowOff>
    </xdr:from>
    <xdr:to>
      <xdr:col>11</xdr:col>
      <xdr:colOff>350520</xdr:colOff>
      <xdr:row>20</xdr:row>
      <xdr:rowOff>72390</xdr:rowOff>
    </xdr:to>
    <xdr:graphicFrame macro="">
      <xdr:nvGraphicFramePr>
        <xdr:cNvPr id="2" name="Chart 1">
          <a:extLst>
            <a:ext uri="{FF2B5EF4-FFF2-40B4-BE49-F238E27FC236}">
              <a16:creationId xmlns:a16="http://schemas.microsoft.com/office/drawing/2014/main" id="{F2B97D24-29E5-D513-BC6E-CD5E69C2F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368301</xdr:colOff>
      <xdr:row>0</xdr:row>
      <xdr:rowOff>25400</xdr:rowOff>
    </xdr:from>
    <xdr:to>
      <xdr:col>22</xdr:col>
      <xdr:colOff>393701</xdr:colOff>
      <xdr:row>35</xdr:row>
      <xdr:rowOff>52028</xdr:rowOff>
    </xdr:to>
    <xdr:sp macro="" textlink="">
      <xdr:nvSpPr>
        <xdr:cNvPr id="2" name="Rectangle 1">
          <a:extLst>
            <a:ext uri="{FF2B5EF4-FFF2-40B4-BE49-F238E27FC236}">
              <a16:creationId xmlns:a16="http://schemas.microsoft.com/office/drawing/2014/main" id="{70AF341D-963C-2C99-9F5B-BC10B733028B}"/>
            </a:ext>
          </a:extLst>
        </xdr:cNvPr>
        <xdr:cNvSpPr/>
      </xdr:nvSpPr>
      <xdr:spPr>
        <a:xfrm>
          <a:off x="368301" y="25400"/>
          <a:ext cx="13436600" cy="6313128"/>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t>A</a:t>
          </a:r>
          <a:r>
            <a:rPr lang="en-US" sz="1100" b="0" i="0" u="none" strike="noStrike">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u="none" strike="noStrike">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p>
        <a:p>
          <a:pPr algn="l"/>
          <a:endParaRPr lang="en-US" sz="1100"/>
        </a:p>
      </xdr:txBody>
    </xdr:sp>
    <xdr:clientData/>
  </xdr:twoCellAnchor>
  <xdr:twoCellAnchor>
    <xdr:from>
      <xdr:col>0</xdr:col>
      <xdr:colOff>599323</xdr:colOff>
      <xdr:row>1</xdr:row>
      <xdr:rowOff>34249</xdr:rowOff>
    </xdr:from>
    <xdr:to>
      <xdr:col>8</xdr:col>
      <xdr:colOff>102742</xdr:colOff>
      <xdr:row>3</xdr:row>
      <xdr:rowOff>17125</xdr:rowOff>
    </xdr:to>
    <xdr:sp macro="" textlink="">
      <xdr:nvSpPr>
        <xdr:cNvPr id="3" name="TextBox 2">
          <a:extLst>
            <a:ext uri="{FF2B5EF4-FFF2-40B4-BE49-F238E27FC236}">
              <a16:creationId xmlns:a16="http://schemas.microsoft.com/office/drawing/2014/main" id="{2231DEBD-7D7D-EE17-A2DC-1FED53A373F8}"/>
            </a:ext>
          </a:extLst>
        </xdr:cNvPr>
        <xdr:cNvSpPr txBox="1"/>
      </xdr:nvSpPr>
      <xdr:spPr>
        <a:xfrm rot="10800000" flipV="1">
          <a:off x="599323" y="214047"/>
          <a:ext cx="4366520" cy="34247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latin typeface="Algerian" panose="04020705040A02060702" pitchFamily="82" charset="0"/>
              <a:cs typeface="Arial" panose="020B0604020202020204" pitchFamily="34" charset="0"/>
            </a:rPr>
            <a:t>project  management dashboard</a:t>
          </a:r>
        </a:p>
      </xdr:txBody>
    </xdr:sp>
    <xdr:clientData/>
  </xdr:twoCellAnchor>
  <xdr:twoCellAnchor editAs="oneCell">
    <xdr:from>
      <xdr:col>19</xdr:col>
      <xdr:colOff>196920</xdr:colOff>
      <xdr:row>2</xdr:row>
      <xdr:rowOff>144608</xdr:rowOff>
    </xdr:from>
    <xdr:to>
      <xdr:col>22</xdr:col>
      <xdr:colOff>260363</xdr:colOff>
      <xdr:row>7</xdr:row>
      <xdr:rowOff>55508</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65D7EC81-6215-4F21-8D85-062145F559C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746785" y="504204"/>
              <a:ext cx="1887106" cy="797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178171</xdr:colOff>
      <xdr:row>8</xdr:row>
      <xdr:rowOff>8561</xdr:rowOff>
    </xdr:from>
    <xdr:to>
      <xdr:col>22</xdr:col>
      <xdr:colOff>183308</xdr:colOff>
      <xdr:row>14</xdr:row>
      <xdr:rowOff>59932</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4D2E990A-BC42-466D-9779-9F6644C58B1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728036" y="1446943"/>
              <a:ext cx="1828800" cy="1130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186732</xdr:colOff>
      <xdr:row>15</xdr:row>
      <xdr:rowOff>34247</xdr:rowOff>
    </xdr:from>
    <xdr:to>
      <xdr:col>22</xdr:col>
      <xdr:colOff>191869</xdr:colOff>
      <xdr:row>20</xdr:row>
      <xdr:rowOff>85617</xdr:rowOff>
    </xdr:to>
    <mc:AlternateContent xmlns:mc="http://schemas.openxmlformats.org/markup-compatibility/2006" xmlns:a14="http://schemas.microsoft.com/office/drawing/2010/main">
      <mc:Choice Requires="a14">
        <xdr:graphicFrame macro="">
          <xdr:nvGraphicFramePr>
            <xdr:cNvPr id="6" name="Status 1">
              <a:extLst>
                <a:ext uri="{FF2B5EF4-FFF2-40B4-BE49-F238E27FC236}">
                  <a16:creationId xmlns:a16="http://schemas.microsoft.com/office/drawing/2014/main" id="{1581C724-9699-4C07-9043-81F5D90A54A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736597" y="2731213"/>
              <a:ext cx="1828800" cy="95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238104</xdr:colOff>
      <xdr:row>21</xdr:row>
      <xdr:rowOff>58989</xdr:rowOff>
    </xdr:from>
    <xdr:to>
      <xdr:col>22</xdr:col>
      <xdr:colOff>222606</xdr:colOff>
      <xdr:row>26</xdr:row>
      <xdr:rowOff>136988</xdr:rowOff>
    </xdr:to>
    <mc:AlternateContent xmlns:mc="http://schemas.openxmlformats.org/markup-compatibility/2006" xmlns:a14="http://schemas.microsoft.com/office/drawing/2010/main">
      <mc:Choice Requires="a14">
        <xdr:graphicFrame macro="">
          <xdr:nvGraphicFramePr>
            <xdr:cNvPr id="7" name="Project Type 1">
              <a:extLst>
                <a:ext uri="{FF2B5EF4-FFF2-40B4-BE49-F238E27FC236}">
                  <a16:creationId xmlns:a16="http://schemas.microsoft.com/office/drawing/2014/main" id="{658691C4-9CD7-498C-99AD-B2507CE02017}"/>
                </a:ext>
              </a:extLst>
            </xdr:cNvPr>
            <xdr:cNvGraphicFramePr/>
          </xdr:nvGraphicFramePr>
          <xdr:xfrm>
            <a:off x="0" y="0"/>
            <a:ext cx="0" cy="0"/>
          </xdr:xfrm>
          <a:graphic>
            <a:graphicData uri="http://schemas.microsoft.com/office/drawing/2010/slicer">
              <sle:slicer xmlns:sle="http://schemas.microsoft.com/office/drawing/2010/slicer" name="Project Type 1"/>
            </a:graphicData>
          </a:graphic>
        </xdr:graphicFrame>
      </mc:Choice>
      <mc:Fallback xmlns="">
        <xdr:sp macro="" textlink="">
          <xdr:nvSpPr>
            <xdr:cNvPr id="0" name=""/>
            <xdr:cNvSpPr>
              <a:spLocks noTextEdit="1"/>
            </xdr:cNvSpPr>
          </xdr:nvSpPr>
          <xdr:spPr>
            <a:xfrm>
              <a:off x="11787969" y="3834742"/>
              <a:ext cx="1808165" cy="976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220981</xdr:colOff>
      <xdr:row>28</xdr:row>
      <xdr:rowOff>110360</xdr:rowOff>
    </xdr:from>
    <xdr:to>
      <xdr:col>22</xdr:col>
      <xdr:colOff>226118</xdr:colOff>
      <xdr:row>33</xdr:row>
      <xdr:rowOff>34417</xdr:rowOff>
    </xdr:to>
    <mc:AlternateContent xmlns:mc="http://schemas.openxmlformats.org/markup-compatibility/2006" xmlns:a14="http://schemas.microsoft.com/office/drawing/2010/main">
      <mc:Choice Requires="a14">
        <xdr:graphicFrame macro="">
          <xdr:nvGraphicFramePr>
            <xdr:cNvPr id="8" name="Project Manager 1">
              <a:extLst>
                <a:ext uri="{FF2B5EF4-FFF2-40B4-BE49-F238E27FC236}">
                  <a16:creationId xmlns:a16="http://schemas.microsoft.com/office/drawing/2014/main" id="{F6CB5270-8170-42A4-A193-2AED86D17652}"/>
                </a:ext>
              </a:extLst>
            </xdr:cNvPr>
            <xdr:cNvGraphicFramePr/>
          </xdr:nvGraphicFramePr>
          <xdr:xfrm>
            <a:off x="0" y="0"/>
            <a:ext cx="0" cy="0"/>
          </xdr:xfrm>
          <a:graphic>
            <a:graphicData uri="http://schemas.microsoft.com/office/drawing/2010/slicer">
              <sle:slicer xmlns:sle="http://schemas.microsoft.com/office/drawing/2010/slicer" name="Project Manager 1"/>
            </a:graphicData>
          </a:graphic>
        </xdr:graphicFrame>
      </mc:Choice>
      <mc:Fallback xmlns="">
        <xdr:sp macro="" textlink="">
          <xdr:nvSpPr>
            <xdr:cNvPr id="0" name=""/>
            <xdr:cNvSpPr>
              <a:spLocks noTextEdit="1"/>
            </xdr:cNvSpPr>
          </xdr:nvSpPr>
          <xdr:spPr>
            <a:xfrm>
              <a:off x="11770846" y="5144697"/>
              <a:ext cx="18288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513708</xdr:colOff>
      <xdr:row>16</xdr:row>
      <xdr:rowOff>34247</xdr:rowOff>
    </xdr:from>
    <xdr:to>
      <xdr:col>7</xdr:col>
      <xdr:colOff>214045</xdr:colOff>
      <xdr:row>34</xdr:row>
      <xdr:rowOff>136987</xdr:rowOff>
    </xdr:to>
    <xdr:graphicFrame macro="">
      <xdr:nvGraphicFramePr>
        <xdr:cNvPr id="12" name="Chart 11">
          <a:extLst>
            <a:ext uri="{FF2B5EF4-FFF2-40B4-BE49-F238E27FC236}">
              <a16:creationId xmlns:a16="http://schemas.microsoft.com/office/drawing/2014/main" id="{B94EA9FD-105C-44E4-AFD6-D7457B451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291101</xdr:colOff>
      <xdr:row>18</xdr:row>
      <xdr:rowOff>84675</xdr:rowOff>
    </xdr:from>
    <xdr:to>
      <xdr:col>14</xdr:col>
      <xdr:colOff>222605</xdr:colOff>
      <xdr:row>33</xdr:row>
      <xdr:rowOff>85619</xdr:rowOff>
    </xdr:to>
    <xdr:graphicFrame macro="">
      <xdr:nvGraphicFramePr>
        <xdr:cNvPr id="13" name="Chart 12">
          <a:extLst>
            <a:ext uri="{FF2B5EF4-FFF2-40B4-BE49-F238E27FC236}">
              <a16:creationId xmlns:a16="http://schemas.microsoft.com/office/drawing/2014/main" id="{655891DA-2885-4F96-823F-7E3F4BDC2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145550</xdr:colOff>
      <xdr:row>2</xdr:row>
      <xdr:rowOff>41864</xdr:rowOff>
    </xdr:from>
    <xdr:to>
      <xdr:col>18</xdr:col>
      <xdr:colOff>522269</xdr:colOff>
      <xdr:row>17</xdr:row>
      <xdr:rowOff>162673</xdr:rowOff>
    </xdr:to>
    <xdr:graphicFrame macro="">
      <xdr:nvGraphicFramePr>
        <xdr:cNvPr id="14" name="Chart 13">
          <a:extLst>
            <a:ext uri="{FF2B5EF4-FFF2-40B4-BE49-F238E27FC236}">
              <a16:creationId xmlns:a16="http://schemas.microsoft.com/office/drawing/2014/main" id="{3BF1E5AF-D037-447E-8699-72573C42C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419528</xdr:colOff>
      <xdr:row>18</xdr:row>
      <xdr:rowOff>84675</xdr:rowOff>
    </xdr:from>
    <xdr:to>
      <xdr:col>18</xdr:col>
      <xdr:colOff>599327</xdr:colOff>
      <xdr:row>33</xdr:row>
      <xdr:rowOff>130910</xdr:rowOff>
    </xdr:to>
    <xdr:graphicFrame macro="">
      <xdr:nvGraphicFramePr>
        <xdr:cNvPr id="15" name="Chart 14">
          <a:extLst>
            <a:ext uri="{FF2B5EF4-FFF2-40B4-BE49-F238E27FC236}">
              <a16:creationId xmlns:a16="http://schemas.microsoft.com/office/drawing/2014/main" id="{8048819B-5483-4C32-A44E-60C2D8E86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582201</xdr:colOff>
      <xdr:row>12</xdr:row>
      <xdr:rowOff>85618</xdr:rowOff>
    </xdr:from>
    <xdr:to>
      <xdr:col>7</xdr:col>
      <xdr:colOff>196921</xdr:colOff>
      <xdr:row>15</xdr:row>
      <xdr:rowOff>93238</xdr:rowOff>
    </xdr:to>
    <xdr:pic>
      <xdr:nvPicPr>
        <xdr:cNvPr id="18" name="Picture 17">
          <a:extLst>
            <a:ext uri="{FF2B5EF4-FFF2-40B4-BE49-F238E27FC236}">
              <a16:creationId xmlns:a16="http://schemas.microsoft.com/office/drawing/2014/main" id="{1B16E4D4-D609-7006-CC0F-CF7E9CE5FD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90089" y="2243191"/>
          <a:ext cx="3262045" cy="547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248291</xdr:colOff>
      <xdr:row>4</xdr:row>
      <xdr:rowOff>42810</xdr:rowOff>
    </xdr:from>
    <xdr:to>
      <xdr:col>6</xdr:col>
      <xdr:colOff>402403</xdr:colOff>
      <xdr:row>11</xdr:row>
      <xdr:rowOff>128427</xdr:rowOff>
    </xdr:to>
    <xdr:sp macro="" textlink="">
      <xdr:nvSpPr>
        <xdr:cNvPr id="9" name="TextBox 8">
          <a:extLst>
            <a:ext uri="{FF2B5EF4-FFF2-40B4-BE49-F238E27FC236}">
              <a16:creationId xmlns:a16="http://schemas.microsoft.com/office/drawing/2014/main" id="{78F6855B-D6AC-46F2-4C99-07B9332CC0EB}"/>
            </a:ext>
          </a:extLst>
        </xdr:cNvPr>
        <xdr:cNvSpPr txBox="1"/>
      </xdr:nvSpPr>
      <xdr:spPr>
        <a:xfrm>
          <a:off x="1464066" y="762001"/>
          <a:ext cx="2585663" cy="134420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lgerian" panose="04020705040A02060702" pitchFamily="82" charset="0"/>
            </a:rPr>
            <a:t> Total</a:t>
          </a:r>
          <a:r>
            <a:rPr lang="en-US" sz="1200" baseline="0">
              <a:solidFill>
                <a:schemeClr val="bg1"/>
              </a:solidFill>
              <a:latin typeface="Algerian" panose="04020705040A02060702" pitchFamily="82" charset="0"/>
            </a:rPr>
            <a:t> project = 72</a:t>
          </a:r>
        </a:p>
        <a:p>
          <a:endParaRPr lang="en-US" sz="1400" baseline="0">
            <a:solidFill>
              <a:schemeClr val="bg1"/>
            </a:solidFill>
            <a:latin typeface="Algerian" panose="04020705040A02060702" pitchFamily="82" charset="0"/>
          </a:endParaRPr>
        </a:p>
        <a:p>
          <a:r>
            <a:rPr lang="en-US" sz="1400" baseline="0">
              <a:solidFill>
                <a:schemeClr val="bg1"/>
              </a:solidFill>
              <a:latin typeface="Algerian" panose="04020705040A02060702" pitchFamily="82" charset="0"/>
            </a:rPr>
            <a:t>Active project =52</a:t>
          </a:r>
        </a:p>
        <a:p>
          <a:r>
            <a:rPr lang="en-US" sz="1400" baseline="0">
              <a:solidFill>
                <a:schemeClr val="bg1"/>
              </a:solidFill>
              <a:latin typeface="Algerian" panose="04020705040A02060702" pitchFamily="82" charset="0"/>
            </a:rPr>
            <a:t>Non active project =19</a:t>
          </a:r>
          <a:endParaRPr lang="en-US" sz="1400">
            <a:solidFill>
              <a:schemeClr val="bg1"/>
            </a:solidFill>
            <a:latin typeface="Algerian" panose="04020705040A02060702" pitchFamily="82" charset="0"/>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0.38288</cdr:x>
      <cdr:y>0.02233</cdr:y>
    </cdr:from>
    <cdr:to>
      <cdr:x>0.74475</cdr:x>
      <cdr:y>0.06698</cdr:y>
    </cdr:to>
    <cdr:sp macro="" textlink="">
      <cdr:nvSpPr>
        <cdr:cNvPr id="2" name="TextBox 1">
          <a:extLst xmlns:a="http://schemas.openxmlformats.org/drawingml/2006/main">
            <a:ext uri="{FF2B5EF4-FFF2-40B4-BE49-F238E27FC236}">
              <a16:creationId xmlns:a16="http://schemas.microsoft.com/office/drawing/2014/main" id="{EBC143C5-C3F9-657B-56EA-317AA7787551}"/>
            </a:ext>
          </a:extLst>
        </cdr:cNvPr>
        <cdr:cNvSpPr txBox="1"/>
      </cdr:nvSpPr>
      <cdr:spPr>
        <a:xfrm xmlns:a="http://schemas.openxmlformats.org/drawingml/2006/main">
          <a:off x="1805940" y="72390"/>
          <a:ext cx="1706880" cy="144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0.33603</cdr:x>
      <cdr:y>0.03643</cdr:y>
    </cdr:from>
    <cdr:to>
      <cdr:x>0.73021</cdr:x>
      <cdr:y>0.07638</cdr:y>
    </cdr:to>
    <cdr:sp macro="" textlink="">
      <cdr:nvSpPr>
        <cdr:cNvPr id="3" name="TextBox 2">
          <a:extLst xmlns:a="http://schemas.openxmlformats.org/drawingml/2006/main">
            <a:ext uri="{FF2B5EF4-FFF2-40B4-BE49-F238E27FC236}">
              <a16:creationId xmlns:a16="http://schemas.microsoft.com/office/drawing/2014/main" id="{3357BF44-936B-8C6E-6B03-0C10B932D44C}"/>
            </a:ext>
          </a:extLst>
        </cdr:cNvPr>
        <cdr:cNvSpPr txBox="1"/>
      </cdr:nvSpPr>
      <cdr:spPr>
        <a:xfrm xmlns:a="http://schemas.openxmlformats.org/drawingml/2006/main">
          <a:off x="1584960" y="118110"/>
          <a:ext cx="1859280" cy="1295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0.33603</cdr:x>
      <cdr:y>0.03863</cdr:y>
    </cdr:from>
    <cdr:to>
      <cdr:x>0.76252</cdr:x>
      <cdr:y>0.08155</cdr:y>
    </cdr:to>
    <cdr:sp macro="" textlink="">
      <cdr:nvSpPr>
        <cdr:cNvPr id="4" name="TextBox 3">
          <a:extLst xmlns:a="http://schemas.openxmlformats.org/drawingml/2006/main">
            <a:ext uri="{FF2B5EF4-FFF2-40B4-BE49-F238E27FC236}">
              <a16:creationId xmlns:a16="http://schemas.microsoft.com/office/drawing/2014/main" id="{6822C00A-A321-4715-69F8-8B6927A67BFE}"/>
            </a:ext>
          </a:extLst>
        </cdr:cNvPr>
        <cdr:cNvSpPr txBox="1"/>
      </cdr:nvSpPr>
      <cdr:spPr>
        <a:xfrm xmlns:a="http://schemas.openxmlformats.org/drawingml/2006/main">
          <a:off x="1584960" y="137160"/>
          <a:ext cx="201168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38100</xdr:colOff>
      <xdr:row>14</xdr:row>
      <xdr:rowOff>175260</xdr:rowOff>
    </xdr:from>
    <xdr:to>
      <xdr:col>8</xdr:col>
      <xdr:colOff>441960</xdr:colOff>
      <xdr:row>33</xdr:row>
      <xdr:rowOff>167640</xdr:rowOff>
    </xdr:to>
    <xdr:graphicFrame macro="">
      <xdr:nvGraphicFramePr>
        <xdr:cNvPr id="2" name="Chart 1">
          <a:extLst>
            <a:ext uri="{FF2B5EF4-FFF2-40B4-BE49-F238E27FC236}">
              <a16:creationId xmlns:a16="http://schemas.microsoft.com/office/drawing/2014/main" id="{EBD31548-9F60-628F-93A6-085735D28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0.38288</cdr:x>
      <cdr:y>0.02233</cdr:y>
    </cdr:from>
    <cdr:to>
      <cdr:x>0.74475</cdr:x>
      <cdr:y>0.06698</cdr:y>
    </cdr:to>
    <cdr:sp macro="" textlink="">
      <cdr:nvSpPr>
        <cdr:cNvPr id="2" name="TextBox 1">
          <a:extLst xmlns:a="http://schemas.openxmlformats.org/drawingml/2006/main">
            <a:ext uri="{FF2B5EF4-FFF2-40B4-BE49-F238E27FC236}">
              <a16:creationId xmlns:a16="http://schemas.microsoft.com/office/drawing/2014/main" id="{EBC143C5-C3F9-657B-56EA-317AA7787551}"/>
            </a:ext>
          </a:extLst>
        </cdr:cNvPr>
        <cdr:cNvSpPr txBox="1"/>
      </cdr:nvSpPr>
      <cdr:spPr>
        <a:xfrm xmlns:a="http://schemas.openxmlformats.org/drawingml/2006/main">
          <a:off x="1805940" y="72390"/>
          <a:ext cx="1706880" cy="144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0.33603</cdr:x>
      <cdr:y>0.03643</cdr:y>
    </cdr:from>
    <cdr:to>
      <cdr:x>0.73021</cdr:x>
      <cdr:y>0.07638</cdr:y>
    </cdr:to>
    <cdr:sp macro="" textlink="">
      <cdr:nvSpPr>
        <cdr:cNvPr id="3" name="TextBox 2">
          <a:extLst xmlns:a="http://schemas.openxmlformats.org/drawingml/2006/main">
            <a:ext uri="{FF2B5EF4-FFF2-40B4-BE49-F238E27FC236}">
              <a16:creationId xmlns:a16="http://schemas.microsoft.com/office/drawing/2014/main" id="{3357BF44-936B-8C6E-6B03-0C10B932D44C}"/>
            </a:ext>
          </a:extLst>
        </cdr:cNvPr>
        <cdr:cNvSpPr txBox="1"/>
      </cdr:nvSpPr>
      <cdr:spPr>
        <a:xfrm xmlns:a="http://schemas.openxmlformats.org/drawingml/2006/main">
          <a:off x="1584960" y="118110"/>
          <a:ext cx="1859280" cy="1295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0.33603</cdr:x>
      <cdr:y>0.03863</cdr:y>
    </cdr:from>
    <cdr:to>
      <cdr:x>0.76252</cdr:x>
      <cdr:y>0.08155</cdr:y>
    </cdr:to>
    <cdr:sp macro="" textlink="">
      <cdr:nvSpPr>
        <cdr:cNvPr id="4" name="TextBox 3">
          <a:extLst xmlns:a="http://schemas.openxmlformats.org/drawingml/2006/main">
            <a:ext uri="{FF2B5EF4-FFF2-40B4-BE49-F238E27FC236}">
              <a16:creationId xmlns:a16="http://schemas.microsoft.com/office/drawing/2014/main" id="{6822C00A-A321-4715-69F8-8B6927A67BFE}"/>
            </a:ext>
          </a:extLst>
        </cdr:cNvPr>
        <cdr:cNvSpPr txBox="1"/>
      </cdr:nvSpPr>
      <cdr:spPr>
        <a:xfrm xmlns:a="http://schemas.openxmlformats.org/drawingml/2006/main">
          <a:off x="1584960" y="137160"/>
          <a:ext cx="201168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1.731453819448" createdVersion="8" refreshedVersion="8" minRefreshableVersion="3" recordCount="72" xr:uid="{F810D101-012F-4B47-BCBE-5AE42B8B0333}">
  <cacheSource type="worksheet">
    <worksheetSource name="projectdata"/>
  </cacheSource>
  <cacheFields count="27">
    <cacheField name="Year" numFmtId="0">
      <sharedItems containsSemiMixedTypes="0" containsString="0" containsNumber="1" containsInteger="1" minValue="2023" maxValue="2025" count="3">
        <n v="2023"/>
        <n v="2025"/>
        <n v="2024"/>
      </sharedItems>
    </cacheField>
    <cacheField name="Month" numFmtId="164">
      <sharedItems count="12">
        <s v="Feb"/>
        <s v="Jul"/>
        <s v="Aug"/>
        <s v="Dec"/>
        <s v="Mar"/>
        <s v="Jun"/>
        <s v="Jan"/>
        <s v="Sep"/>
        <s v="May"/>
        <s v="Nov"/>
        <s v="Oct"/>
        <s v="Apr"/>
      </sharedItems>
    </cacheField>
    <cacheField name="Project ID Number" numFmtId="0">
      <sharedItems containsSemiMixedTypes="0" containsString="0" containsNumber="1" containsInteger="1" minValue="988245" maxValue="1297183"/>
    </cacheField>
    <cacheField name="Project Name" numFmtId="0">
      <sharedItems count="72">
        <s v="The Experienced dude Static Startup 5"/>
        <s v="The Experienced dude Static Startup 15"/>
        <s v="Charged by Codes The Art of Codes"/>
        <s v="Excalibur GHI Training Impact Training"/>
        <s v="Mo-Money Masterclass The Principal of Change"/>
        <s v="The Experienced dude Static Startup 3"/>
        <s v="Mentee to Mentor Coding Region"/>
        <s v="The Experienced dude Static Startup 10"/>
        <s v="Wombat Wide Stringer"/>
        <s v="Code Change Group The GFI with Codes"/>
        <s v="Celestial Interface Gob Geeklords"/>
        <s v="Robust Routine Excalibur Training"/>
        <s v="The Social Experiment Project Explained"/>
        <s v="The Coding Expert Fast Coding"/>
        <s v="The Principal of Change Switch and Swift"/>
        <s v="Remembering Our Ancestors The Discovery"/>
        <s v="The Experienced dude Static Startup 17"/>
        <s v="The Experienced dude Static Startup 16"/>
        <s v="Debug Entity Robust Routine"/>
        <s v="The Discovery of Era Made by Me"/>
        <s v="Static Startup Java Dalia"/>
        <s v="The Experienced dude Charged by Codes"/>
        <s v="The Experienced dude Static Startup 2"/>
        <s v="The Experienced dude Static Startup 6"/>
        <s v="New Workers Excel and Elevate Training"/>
        <s v="Switch and Swift Linkage, Inc."/>
        <s v="The Experienced dude Static Startup 11"/>
        <s v="Java Dalia Open Source Pundits"/>
        <s v="The Success Meetup for the Good"/>
        <s v="Coding Region Town Hall Meeting"/>
        <s v="Search Engine Bandits Indie Profilers"/>
        <s v="Town Hall Meeting The Network"/>
        <s v="Meetup for the Good Remembering Our"/>
        <s v="Moving Bird In Recognition of Codes"/>
        <s v="Social Geek Made The Blue Bird"/>
        <s v="The Blue Bird Moving Bird"/>
        <s v="Project Explained The Success"/>
        <s v="Software Chasers Wombat"/>
        <s v="Box of Crayons The Experienced dude"/>
        <s v="The Experienced dude Static Startup 14"/>
        <s v="The GFI with Codes The Coding Expert"/>
        <s v="The Coding Master Fast &amp; Creative Gang"/>
        <s v="White Feather Debug Entity"/>
        <s v="Center for Creative Coding Box of Crayons"/>
        <s v="The Experienced dude Static Startup 19"/>
        <s v="Impact Training Mo-Money Masterclass"/>
        <s v="The Successful Project The Domain of Work"/>
        <s v="Indie Profilers Static Startup"/>
        <s v="Annual Award Show Match of Health"/>
        <s v="Linkage, Inc. Coding League"/>
        <s v="Gob Geeklords Software Chasers"/>
        <s v="The Domain of Work 7th Annual Workshop"/>
        <s v="Active Achievement Mentee to Mentor"/>
        <s v="Made by Me Social Geek Made"/>
        <s v="Fast Coding Enter Coding"/>
        <s v="The Experienced dude Static Startup 7"/>
        <s v="Wide Stringer White Feather"/>
        <s v="The Experienced dude Static Startup 18"/>
        <s v="The Experienced dude Static Startup 4"/>
        <s v="Coding League Code Change Group"/>
        <s v="The Experienced dude Static Startup 12"/>
        <s v="Fast &amp; Creative Gang The Successful Project"/>
        <s v="The Network The Social Experiment"/>
        <s v="Open Source Pundits Celestial Interface"/>
        <s v="The Art of Codes The Coding Master"/>
        <s v="Match of Health A Salute to New Workers"/>
        <s v="Enter Coding Center for Creative Coding"/>
        <s v="Excel and Elevate Training Active Achievement"/>
        <s v="The Experienced dude Static Startup 9"/>
        <s v="Excalibur Training Impact Training"/>
        <s v="The Experienced dude Static Startup 8"/>
        <s v="The Experienced dude Static Startup 13"/>
      </sharedItems>
    </cacheField>
    <cacheField name="Status" numFmtId="0">
      <sharedItems count="2">
        <s v="Active"/>
        <s v="Not Active"/>
      </sharedItems>
    </cacheField>
    <cacheField name="Project Value" numFmtId="3">
      <sharedItems containsSemiMixedTypes="0" containsString="0" containsNumber="1" containsInteger="1" minValue="19165" maxValue="4354263"/>
    </cacheField>
    <cacheField name="Project Descriptions" numFmtId="0">
      <sharedItems count="62">
        <s v="The Coding Master Celestial Interface Debug Entity The Art of Codes Open Source Pundits"/>
        <s v="The Success The GFI with Codes Remembering Our Ancestors Project Explained Code Change Group"/>
        <s v="Mentee to Mentor Mo-Money Masterclass Town Hall Meeting Active Achievement Impact Training"/>
        <s v="Made by Me Center for Creative Coding The Blue Bird The Discovery of Era Enter Coding"/>
        <s v="The Coding Master Celestial Interface The Successful Project The Art of Codes Open Source Pundits"/>
        <s v="The Successful Project Software Chasers Excalibur Training Fast &amp; Creative Gang Gob Geeklords"/>
        <s v="Excel and Elevate Training Excalibur Training Coding League A Salute to New Workers Robust Routine"/>
        <s v="The Network Linkage, Inc. Enter Coding Town Hall Meeting Switch and Swift"/>
        <s v="The Experienced dude Static Startup Wombat Box of Crayons Indie Profilers"/>
        <s v="The Art of Codes Open Source Pundits White Feather Charged by Codes Java Dalia"/>
        <s v="Box of Crayons Indie Profilers Software Chasers Center for Creative Coding Search Engine Bandits"/>
        <s v="The Domain of Work Wombat Impact Training The Successful Project Software Chasers"/>
        <s v="Charged by Codes Java Dalia Wide Stringer The Experienced dude Static Startup"/>
        <s v="Social Geek Made Box of Crayons The Successful Project Made by Me Center for Creative Coding"/>
        <s v="Active Achievement Impact Training Coding Region Excel and Elevate Training Excalibur Training"/>
        <s v="The Successful Project Software Chasers 7th Annual Workshop Fast &amp; Creative Gang Gob Geeklords"/>
        <s v="The Domain of Work Wombat Annual Award Show The Successful Project Software Chasers"/>
        <s v="Active Achievement Impact Training Code Change Group Excel and Elevate Training Excalibur Training"/>
        <s v="Fast &amp; Creative Gang Gob Geeklords Robust Routine The Coding Master Celestial Interface"/>
        <s v="Moving Bird Charged by Codes 7th Annual Workshop The Blue Bird The Experienced dude"/>
        <s v="Java Dalia  The Successful Project Static Startup "/>
        <s v="Fast &amp; Creative Gang Gob Geeklords The Domain of Work The Coding Master Celestial Interface"/>
        <s v="The Blue Bird The Experienced dude Search Engine Bandits In Recognition of Codes Social Geek Made Box of Crayons"/>
        <s v="The Network Linkage, Inc. Project Explained Town Hall Meeting Switch and Swift"/>
        <s v="Static Startup  Fast &amp; Creative Gang Indie Profilers "/>
        <s v="Annual Award Show White Feather A Salute to New Workers 7th Annual Workshop Wide Stringer"/>
        <s v="Coding Region The Principal of Change The Network Mentee to Mentor Mo-Money Masterclass"/>
        <s v="Robust Routine  Coding Region Debug Entity "/>
        <s v="Coding Region The Principal of Change The Coding Expert Mentee to Mentor Mo-Money Masterclass"/>
        <s v="Annual Award Show White Feather The Principal of Change 7th Annual Workshop Wide Stringer"/>
        <s v="7th Annual Workshop Wide Stringer Mo-Money Masterclass The Domain of Work Wombat"/>
        <s v="A Salute to New Workers Robust Routine Linkage, Inc. Match of Health Debug Entity"/>
        <s v="7th Annual Workshop Wide Stringer Match of Health The Domain of Work Wombat"/>
        <s v="Box of Crayons Indie Profilers Software Chasers The Blue Bird The Experienced dude Search Engine Bandits"/>
        <s v="The Success The GFI with Codes The Experienced dude Project Explained Code Change Group"/>
        <s v="Project Explained Code Change Group Box of Crayons The Social Experiment Coding League"/>
        <s v="Social Geek Made Box of Crayons Moving Bird Made by Me Center for Creative Coding"/>
        <s v="Meetup for the Good The Coding Expert The Discovery of Era The Success The GFI with Codes"/>
        <s v="Project Explained Code Change Group Meetup for the Good The Social Experiment Coding League"/>
        <s v="Town Hall Meeting Switch and Swift The Social Experiment Coding Region The Principal of Change"/>
        <s v="The Discovery of Era Enter Coding The Coding Master Remembering Our Ancestors Fast Coding"/>
        <s v="Match of Health Debug Entity Excel and Elevate Training Annual Award Show White Feather"/>
        <s v="Town Hall Meeting Switch and Swift Fast Coding Coding Region The Principal of Change"/>
        <s v="Made by Me Center for Creative Coding Fast &amp; Creative Gang The Discovery of Era Enter Coding"/>
        <s v="The Blue Bird The Experienced dude The Domain of Work Social Geek Made Box of Crayons"/>
        <s v="The Principal of Change  Project Explained Mo-Money Masterclass "/>
        <s v="Match of Health Debug Entity Switch and Swift Annual Award Show White Feather"/>
        <s v="Excel and Elevate Training Excalibur Training Mentee to Mentor A Salute to New Workers Robust Routine"/>
        <s v="A Salute to New Workers Robust Routine Active Achievement Match of Health Debug Entity"/>
        <s v="Remembering Our Ancestors Fast Coding Made by Me Meetup for the Good The Coding Expert"/>
        <s v="Excalibur Training  Town Hall Meeting Robust Routine "/>
        <s v="The Experienced dude Static Startup The Art of Codes"/>
        <s v="The Art of Codes Open Source Pundits Fast &amp; Creative Gang Charged by Codes Java Dalia"/>
        <s v="The Social Experiment Coding League Center for Creative Coding The Network Linkage, Inc."/>
        <s v="Meetup for the Good The Coding Expert Charged by Codes The Success The GFI with Codes"/>
        <s v="Charged by Codes Java Dalia The Coding Master The Experienced dude Static Startup"/>
        <s v="Mentee to Mentor Mo-Money Masterclass The GFI with Codes Active Achievement Impact Training"/>
        <s v="In Recognition of Codes The Art of Codes Annual Award Show Moving Bird Charged by Codes"/>
        <s v="Remembering Our Ancestors Fast Coding The Art of Codes Meetup for the Good The Coding Expert"/>
        <s v="Impact Training  The Network Excalibur Training "/>
        <s v="The Discovery of Era Enter Coding Social Geek Made Remembering Our Ancestors Fast Coding"/>
        <s v="The Social Experiment Coding League The Success The Network Linkage, Inc."/>
      </sharedItems>
    </cacheField>
    <cacheField name="Project Type" numFmtId="0">
      <sharedItems count="7">
        <s v="Security"/>
        <s v="Operations"/>
        <s v="IT"/>
        <s v="Client - Global"/>
        <s v="Fast Path"/>
        <s v="Client"/>
        <s v="Operations - Global"/>
      </sharedItems>
    </cacheField>
    <cacheField name="Priority" numFmtId="0">
      <sharedItems count="3">
        <s v="Normal"/>
        <s v="Low"/>
        <s v="High"/>
      </sharedItems>
    </cacheField>
    <cacheField name="Substatus" numFmtId="0">
      <sharedItems/>
    </cacheField>
    <cacheField name="Project Manager" numFmtId="0">
      <sharedItems count="4">
        <s v="Suzan Mike"/>
        <s v="Ali Adam"/>
        <s v="Jean Zac"/>
        <s v="Eddy Verly"/>
      </sharedItems>
    </cacheField>
    <cacheField name="Developers" numFmtId="0">
      <sharedItems/>
    </cacheField>
    <cacheField name="Business Analyst" numFmtId="0">
      <sharedItems/>
    </cacheField>
    <cacheField name="Next Action" numFmtId="0">
      <sharedItems/>
    </cacheField>
    <cacheField name="ITQA" numFmtId="0">
      <sharedItems/>
    </cacheField>
    <cacheField name="FTE Savings" numFmtId="1">
      <sharedItems containsSemiMixedTypes="0" containsString="0" containsNumber="1" containsInteger="1" minValue="18" maxValue="361"/>
    </cacheField>
    <cacheField name="Working Hours" numFmtId="1">
      <sharedItems containsSemiMixedTypes="0" containsString="0" containsNumber="1" minValue="3.2776119137781725" maxValue="2189.2689692372755"/>
    </cacheField>
    <cacheField name="Start date" numFmtId="14">
      <sharedItems containsSemiMixedTypes="0" containsNonDate="0" containsDate="1" containsString="0" minDate="2023-05-07T00:00:00" maxDate="2023-07-18T00:00:00" count="72">
        <d v="2023-07-17T00:00:00"/>
        <d v="2023-07-16T00:00:00"/>
        <d v="2023-07-15T00:00:00"/>
        <d v="2023-07-14T00:00:00"/>
        <d v="2023-07-13T00:00:00"/>
        <d v="2023-07-12T00:00:00"/>
        <d v="2023-07-11T00:00:00"/>
        <d v="2023-07-10T00:00:00"/>
        <d v="2023-07-09T00:00:00"/>
        <d v="2023-07-08T00:00:00"/>
        <d v="2023-07-07T00:00:00"/>
        <d v="2023-07-06T00:00:00"/>
        <d v="2023-07-05T00:00:00"/>
        <d v="2023-07-04T00:00:00"/>
        <d v="2023-07-03T00:00:00"/>
        <d v="2023-07-02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sharedItems>
      <fieldGroup par="26"/>
    </cacheField>
    <cacheField name="Dev Start Date" numFmtId="14">
      <sharedItems containsSemiMixedTypes="0" containsNonDate="0" containsDate="1" containsString="0" minDate="2023-05-09T00:00:00" maxDate="2023-07-18T00:00:00"/>
    </cacheField>
    <cacheField name="Internal Testing Date" numFmtId="14">
      <sharedItems containsSemiMixedTypes="0" containsNonDate="0" containsDate="1" containsString="0" minDate="2023-09-09T00:00:00" maxDate="2023-11-20T00:00:00"/>
    </cacheField>
    <cacheField name="Target Client Testing Date" numFmtId="14">
      <sharedItems containsSemiMixedTypes="0" containsNonDate="0" containsDate="1" containsString="0" minDate="2023-10-10T00:00:00" maxDate="2023-12-21T00:00:00"/>
    </cacheField>
    <cacheField name="Actual ACC Deployment Date" numFmtId="14">
      <sharedItems containsSemiMixedTypes="0" containsNonDate="0" containsDate="1" containsString="0" minDate="2023-11-11T00:00:00" maxDate="2024-01-22T00:00:00"/>
    </cacheField>
    <cacheField name="Target Deployment Date" numFmtId="14">
      <sharedItems containsSemiMixedTypes="0" containsNonDate="0" containsDate="1" containsString="0" minDate="2023-12-12T00:00:00" maxDate="2024-02-22T00:00:00"/>
    </cacheField>
    <cacheField name="Actual Deployment Date" numFmtId="14">
      <sharedItems containsSemiMixedTypes="0" containsNonDate="0" containsDate="1" containsString="0" minDate="2023-12-13T00:00:00" maxDate="2024-02-23T00:00:00"/>
    </cacheField>
    <cacheField name="Manager Comments" numFmtId="0">
      <sharedItems longText="1"/>
    </cacheField>
    <cacheField name="Days (Start date)" numFmtId="0" databaseField="0">
      <fieldGroup base="17">
        <rangePr groupBy="days" startDate="2023-05-07T00:00:00" endDate="2023-07-18T00:00:00"/>
        <groupItems count="368">
          <s v="&lt;5/7/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8/2023"/>
        </groupItems>
      </fieldGroup>
    </cacheField>
    <cacheField name="Months (Start date)" numFmtId="0" databaseField="0">
      <fieldGroup base="17">
        <rangePr groupBy="months" startDate="2023-05-07T00:00:00" endDate="2023-07-18T00:00:00"/>
        <groupItems count="14">
          <s v="&lt;5/7/2023"/>
          <s v="Jan"/>
          <s v="Feb"/>
          <s v="Mar"/>
          <s v="Apr"/>
          <s v="May"/>
          <s v="Jun"/>
          <s v="Jul"/>
          <s v="Aug"/>
          <s v="Sep"/>
          <s v="Oct"/>
          <s v="Nov"/>
          <s v="Dec"/>
          <s v="&gt;7/18/2023"/>
        </groupItems>
      </fieldGroup>
    </cacheField>
  </cacheFields>
  <extLst>
    <ext xmlns:x14="http://schemas.microsoft.com/office/spreadsheetml/2009/9/main" uri="{725AE2AE-9491-48be-B2B4-4EB974FC3084}">
      <x14:pivotCacheDefinition pivotCacheId="17544600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2.57837974537" backgroundQuery="1" createdVersion="8" refreshedVersion="8" minRefreshableVersion="3" recordCount="0" supportSubquery="1" supportAdvancedDrill="1" xr:uid="{1D55613F-EE59-4AE0-92E2-8485C1AC3CF5}">
  <cacheSource type="external" connectionId="1"/>
  <cacheFields count="2">
    <cacheField name="[projectdata].[Project Manager].[Project Manager]" caption="Project Manager" numFmtId="0" hierarchy="10" level="1">
      <sharedItems count="4">
        <s v="Ali Adam"/>
        <s v="Eddy Verly"/>
        <s v="Jean Zac"/>
        <s v="Suzan Mike"/>
      </sharedItems>
    </cacheField>
    <cacheField name="[Measures].[Count of count of project (Month)]" caption="Count of count of project (Month)" numFmtId="0" hierarchy="32" level="32767"/>
  </cacheFields>
  <cacheHierarchies count="35">
    <cacheHierarchy uniqueName="[projectdata].[Year]" caption="Year" attribute="1" defaultMemberUniqueName="[projectdata].[Year].[All]" allUniqueName="[projectdata].[Year].[All]" dimensionUniqueName="[projectdata]" displayFolder="" count="0" memberValueDatatype="20" unbalanced="0"/>
    <cacheHierarchy uniqueName="[projectdata].[Month]" caption="Month" attribute="1" defaultMemberUniqueName="[projectdata].[Month].[All]" allUniqueName="[projectdata].[Month].[All]" dimensionUniqueName="[projectdata]" displayFolder="" count="0" memberValueDatatype="130" unbalanced="0"/>
    <cacheHierarchy uniqueName="[projectdata].[Project ID Number]" caption="Project ID Number" attribute="1" defaultMemberUniqueName="[projectdata].[Project ID Number].[All]" allUniqueName="[projectdata].[Project ID Number].[All]" dimensionUniqueName="[projectdata]" displayFolder="" count="0" memberValueDatatype="20" unbalanced="0"/>
    <cacheHierarchy uniqueName="[projectdata].[Project Name]" caption="Project Name" attribute="1" defaultMemberUniqueName="[projectdata].[Project Name].[All]" allUniqueName="[projectdata].[Project Name].[All]" dimensionUniqueName="[projectdata]" displayFolder="" count="0" memberValueDatatype="130" unbalanced="0"/>
    <cacheHierarchy uniqueName="[projectdata].[Status]" caption="Status" attribute="1" defaultMemberUniqueName="[projectdata].[Status].[All]" allUniqueName="[projectdata].[Status].[All]" dimensionUniqueName="[projectdata]" displayFolder="" count="0" memberValueDatatype="130" unbalanced="0"/>
    <cacheHierarchy uniqueName="[projectdata].[Project Value]" caption="Project Value" attribute="1" defaultMemberUniqueName="[projectdata].[Project Value].[All]" allUniqueName="[projectdata].[Project Value].[All]" dimensionUniqueName="[projectdata]" displayFolder="" count="0" memberValueDatatype="20" unbalanced="0"/>
    <cacheHierarchy uniqueName="[projectdata].[Project Descriptions]" caption="Project Descriptions" attribute="1" defaultMemberUniqueName="[projectdata].[Project Descriptions].[All]" allUniqueName="[projectdata].[Project Descriptions].[All]" dimensionUniqueName="[projectdata]" displayFolder="" count="0" memberValueDatatype="130" unbalanced="0"/>
    <cacheHierarchy uniqueName="[projectdata].[Project Type]" caption="Project Type" attribute="1" defaultMemberUniqueName="[projectdata].[Project Type].[All]" allUniqueName="[projectdata].[Project Type].[All]" dimensionUniqueName="[projectdata]" displayFolder="" count="0" memberValueDatatype="130" unbalanced="0"/>
    <cacheHierarchy uniqueName="[projectdata].[9]" caption="9" attribute="1" defaultMemberUniqueName="[projectdata].[9].[All]" allUniqueName="[projectdata].[9].[All]" dimensionUniqueName="[projectdata]" displayFolder="" count="0" memberValueDatatype="130" unbalanced="0"/>
    <cacheHierarchy uniqueName="[projectdata].[Substatus]" caption="Substatus" attribute="1" defaultMemberUniqueName="[projectdata].[Substatus].[All]" allUniqueName="[projectdata].[Substatus].[All]" dimensionUniqueName="[projectdata]" displayFolder="" count="0" memberValueDatatype="130" unbalanced="0"/>
    <cacheHierarchy uniqueName="[projectdata].[Project Manager]" caption="Project Manager" attribute="1" defaultMemberUniqueName="[projectdata].[Project Manager].[All]" allUniqueName="[projectdata].[Project Manager].[All]" dimensionUniqueName="[projectdata]" displayFolder="" count="2" memberValueDatatype="130" unbalanced="0">
      <fieldsUsage count="2">
        <fieldUsage x="-1"/>
        <fieldUsage x="0"/>
      </fieldsUsage>
    </cacheHierarchy>
    <cacheHierarchy uniqueName="[projectdata].[Developers]" caption="Developers" attribute="1" defaultMemberUniqueName="[projectdata].[Developers].[All]" allUniqueName="[projectdata].[Developers].[All]" dimensionUniqueName="[projectdata]" displayFolder="" count="0" memberValueDatatype="130" unbalanced="0"/>
    <cacheHierarchy uniqueName="[projectdata].[Business Analyst]" caption="Business Analyst" attribute="1" defaultMemberUniqueName="[projectdata].[Business Analyst].[All]" allUniqueName="[projectdata].[Business Analyst].[All]" dimensionUniqueName="[projectdata]" displayFolder="" count="0" memberValueDatatype="130" unbalanced="0"/>
    <cacheHierarchy uniqueName="[projectdata].[Next Action]" caption="Next Action" attribute="1" defaultMemberUniqueName="[projectdata].[Next Action].[All]" allUniqueName="[projectdata].[Next Action].[All]" dimensionUniqueName="[projectdata]" displayFolder="" count="0" memberValueDatatype="130" unbalanced="0"/>
    <cacheHierarchy uniqueName="[projectdata].[ITQA]" caption="ITQA" attribute="1" defaultMemberUniqueName="[projectdata].[ITQA].[All]" allUniqueName="[projectdata].[ITQA].[All]" dimensionUniqueName="[projectdata]" displayFolder="" count="0" memberValueDatatype="130" unbalanced="0"/>
    <cacheHierarchy uniqueName="[projectdata].[FTE Savings]" caption="FTE Savings" attribute="1" defaultMemberUniqueName="[projectdata].[FTE Savings].[All]" allUniqueName="[projectdata].[FTE Savings].[All]" dimensionUniqueName="[projectdata]" displayFolder="" count="0" memberValueDatatype="20" unbalanced="0"/>
    <cacheHierarchy uniqueName="[projectdata].[Working Hours]" caption="Working Hours" attribute="1" defaultMemberUniqueName="[projectdata].[Working Hours].[All]" allUniqueName="[projectdata].[Working Hours].[All]" dimensionUniqueName="[projectdata]" displayFolder="" count="0" memberValueDatatype="5" unbalanced="0"/>
    <cacheHierarchy uniqueName="[projectdata].[Start date]" caption="Start date" attribute="1" time="1" defaultMemberUniqueName="[projectdata].[Start date].[All]" allUniqueName="[projectdata].[Start date].[All]" dimensionUniqueName="[projectdata]" displayFolder="" count="0" memberValueDatatype="7" unbalanced="0"/>
    <cacheHierarchy uniqueName="[projectdata].[Dev Start Date]" caption="Dev Start Date" attribute="1" time="1" defaultMemberUniqueName="[projectdata].[Dev Start Date].[All]" allUniqueName="[projectdata].[Dev Start Date].[All]" dimensionUniqueName="[projectdata]" displayFolder="" count="0" memberValueDatatype="7" unbalanced="0"/>
    <cacheHierarchy uniqueName="[projectdata].[Internal Testing Date]" caption="Internal Testing Date" attribute="1" time="1" defaultMemberUniqueName="[projectdata].[Internal Testing Date].[All]" allUniqueName="[projectdata].[Internal Testing Date].[All]" dimensionUniqueName="[projectdata]" displayFolder="" count="0" memberValueDatatype="7" unbalanced="0"/>
    <cacheHierarchy uniqueName="[projectdata].[Target Client Testing Date]" caption="Target Client Testing Date" attribute="1" time="1" defaultMemberUniqueName="[projectdata].[Target Client Testing Date].[All]" allUniqueName="[projectdata].[Target Client Testing Date].[All]" dimensionUniqueName="[projectdata]" displayFolder="" count="0" memberValueDatatype="7" unbalanced="0"/>
    <cacheHierarchy uniqueName="[projectdata].[Actual ACC Deployment Date]" caption="Actual ACC Deployment Date" attribute="1" time="1" defaultMemberUniqueName="[projectdata].[Actual ACC Deployment Date].[All]" allUniqueName="[projectdata].[Actual ACC Deployment Date].[All]" dimensionUniqueName="[projectdata]" displayFolder="" count="0" memberValueDatatype="7" unbalanced="0"/>
    <cacheHierarchy uniqueName="[projectdata].[Target Deployment Date]" caption="Target Deployment Date" attribute="1" time="1" defaultMemberUniqueName="[projectdata].[Target Deployment Date].[All]" allUniqueName="[projectdata].[Target Deployment Date].[All]" dimensionUniqueName="[projectdata]" displayFolder="" count="0" memberValueDatatype="7" unbalanced="0"/>
    <cacheHierarchy uniqueName="[projectdata].[Actual Deployment Date]" caption="Actual Deployment Date" attribute="1" time="1" defaultMemberUniqueName="[projectdata].[Actual Deployment Date].[All]" allUniqueName="[projectdata].[Actual Deployment Date].[All]" dimensionUniqueName="[projectdata]" displayFolder="" count="0" memberValueDatatype="7" unbalanced="0"/>
    <cacheHierarchy uniqueName="[projectdata].[Manager Comments]" caption="Manager Comments" attribute="1" defaultMemberUniqueName="[projectdata].[Manager Comments].[All]" allUniqueName="[projectdata].[Manager Comments].[All]" dimensionUniqueName="[projectdata]" displayFolder="" count="0" memberValueDatatype="130" unbalanced="0"/>
    <cacheHierarchy uniqueName="[projectdata].[count of project]" caption="count of project" attribute="1" time="1" defaultMemberUniqueName="[projectdata].[count of project].[All]" allUniqueName="[projectdata].[count of project].[All]" dimensionUniqueName="[projectdata]" displayFolder="" count="0" memberValueDatatype="7" unbalanced="0"/>
    <cacheHierarchy uniqueName="[projectdata].[count of project (Month)]" caption="count of project (Month)" attribute="1" defaultMemberUniqueName="[projectdata].[count of project (Month)].[All]" allUniqueName="[projectdata].[count of project (Month)].[All]" dimensionUniqueName="[projectdata]" displayFolder="" count="0" memberValueDatatype="130" unbalanced="0"/>
    <cacheHierarchy uniqueName="[projectdata].[Start date (Month)]" caption="Start date (Month)" attribute="1" defaultMemberUniqueName="[projectdata].[Start date (Month)].[All]" allUniqueName="[projectdata].[Start date (Month)].[All]" dimensionUniqueName="[projectdata]" displayFolder="" count="0" memberValueDatatype="130" unbalanced="0"/>
    <cacheHierarchy uniqueName="[projectdata].[count of project (Month Index)]" caption="count of project (Month Index)" attribute="1" defaultMemberUniqueName="[projectdata].[count of project (Month Index)].[All]" allUniqueName="[projectdata].[count of project (Month Index)].[All]" dimensionUniqueName="[projectdata]" displayFolder="" count="0" memberValueDatatype="20" unbalanced="0" hidden="1"/>
    <cacheHierarchy uniqueName="[projectdata].[Start date (Month Index)]" caption="Start date (Month Index)" attribute="1" defaultMemberUniqueName="[projectdata].[Start date (Month Index)].[All]" allUniqueName="[projectdata].[Start date (Month Index)].[All]" dimensionUniqueName="[projectdata]" displayFolder="" count="0" memberValueDatatype="20" unbalanced="0" hidden="1"/>
    <cacheHierarchy uniqueName="[Measures].[__XL_Count projectdata]" caption="__XL_Count projectdata" measure="1" displayFolder="" measureGroup="projectdata" count="0" hidden="1"/>
    <cacheHierarchy uniqueName="[Measures].[__No measures defined]" caption="__No measures defined" measure="1" displayFolder="" count="0" hidden="1"/>
    <cacheHierarchy uniqueName="[Measures].[Count of count of project (Month)]" caption="Count of count of project (Month)" measure="1" displayFolder="" measureGroup="project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Year]" caption="Sum of Year" measure="1" displayFolder="" measureGroup="projectdata" count="0" hidden="1">
      <extLst>
        <ext xmlns:x15="http://schemas.microsoft.com/office/spreadsheetml/2010/11/main" uri="{B97F6D7D-B522-45F9-BDA1-12C45D357490}">
          <x15:cacheHierarchy aggregatedColumn="0"/>
        </ext>
      </extLst>
    </cacheHierarchy>
    <cacheHierarchy uniqueName="[Measures].[Count of count of project]" caption="Count of count of project" measure="1" displayFolder="" measureGroup="projectdata"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projectdata" uniqueName="[projectdata]" caption="projectdata"/>
  </dimensions>
  <measureGroups count="1">
    <measureGroup name="projectdata" caption="projec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2.578380902778" backgroundQuery="1" createdVersion="8" refreshedVersion="8" minRefreshableVersion="3" recordCount="0" supportSubquery="1" supportAdvancedDrill="1" xr:uid="{8EEB7199-6698-4068-9CC4-295CF56B41BD}">
  <cacheSource type="external" connectionId="1"/>
  <cacheFields count="4">
    <cacheField name="[projectdata].[Month].[Month]" caption="Month" numFmtId="0" hierarchy="1" level="1">
      <sharedItems count="12">
        <s v="Apr"/>
        <s v="Aug"/>
        <s v="Dec"/>
        <s v="Feb"/>
        <s v="Jan"/>
        <s v="Jul"/>
        <s v="Jun"/>
        <s v="Mar"/>
        <s v="May"/>
        <s v="Nov"/>
        <s v="Oct"/>
        <s v="Sep"/>
      </sharedItems>
    </cacheField>
    <cacheField name="[projectdata].[count of project].[count of project]" caption="count of project" numFmtId="0" hierarchy="25" level="1">
      <sharedItems containsSemiMixedTypes="0" containsNonDate="0" containsDate="1" containsString="0" minDate="1899-12-31T00:00:00" maxDate="1900-03-13T00:00:00" count="71">
        <d v="1899-12-31T00:00:00"/>
        <d v="1900-01-01T00:00:00"/>
        <d v="1900-01-02T00:00:00"/>
        <d v="1900-01-03T00:00:00"/>
        <d v="1900-01-04T00:00:00"/>
        <d v="1900-01-05T00:00:00"/>
        <d v="1900-01-06T00:00:00"/>
        <d v="1900-01-07T00:00:00"/>
        <d v="1900-01-08T00:00:00"/>
        <d v="1900-01-09T00:00:00"/>
        <d v="1900-01-10T00:00:00"/>
        <d v="1900-01-11T00:00:00"/>
        <d v="1900-01-12T00:00:00"/>
        <d v="1900-01-13T00:00:00"/>
        <d v="1900-01-14T00:00:00"/>
        <d v="1900-01-15T00:00:00"/>
        <d v="1900-01-16T00:00:00"/>
        <d v="1900-01-17T00:00:00"/>
        <d v="1900-01-18T00:00:00"/>
        <d v="1900-01-19T00:00:00"/>
        <d v="1900-01-20T00:00:00"/>
        <d v="1900-01-21T00:00:00"/>
        <d v="1900-01-22T00:00:00"/>
        <d v="1900-01-23T00:00:00"/>
        <d v="1900-01-24T00:00:00"/>
        <d v="1900-01-25T00:00:00"/>
        <d v="1900-01-26T00:00:00"/>
        <d v="1900-01-27T00:00:00"/>
        <d v="1900-01-28T00:00:00"/>
        <d v="1900-01-29T00:00:00"/>
        <d v="1900-01-30T00:00:00"/>
        <d v="1900-01-31T00:00:00"/>
        <d v="1900-02-01T00:00:00"/>
        <d v="1900-02-02T00:00:00"/>
        <d v="1900-02-03T00:00:00"/>
        <d v="1900-02-04T00:00:00"/>
        <d v="1900-02-05T00:00:00"/>
        <d v="1900-02-06T00:00:00"/>
        <d v="1900-02-07T00:00:00"/>
        <d v="1900-02-08T00:00:00"/>
        <d v="1900-02-09T00:00:00"/>
        <d v="1900-02-10T00:00:00"/>
        <d v="1900-02-11T00:00:00"/>
        <d v="1900-02-12T00:00:00"/>
        <d v="1900-02-13T00:00:00"/>
        <d v="1900-02-14T00:00:00"/>
        <d v="1900-02-15T00:00:00"/>
        <d v="1900-02-16T00:00:00"/>
        <d v="1900-02-17T00:00:00"/>
        <d v="1900-02-18T00:00:00"/>
        <d v="1900-02-19T00:00:00"/>
        <d v="1900-02-20T00:00:00"/>
        <d v="1900-02-21T00:00:00"/>
        <d v="1900-02-22T00:00:00"/>
        <d v="1900-02-23T00:00:00"/>
        <d v="1900-02-24T00:00:00"/>
        <d v="1900-02-25T00:00:00"/>
        <d v="1900-02-26T00:00:00"/>
        <d v="1900-02-27T00:00:00"/>
        <d v="1900-03-01T00:00:00"/>
        <d v="1900-03-02T00:00:00"/>
        <d v="1900-03-03T00:00:00"/>
        <d v="1900-03-04T00:00:00"/>
        <d v="1900-03-05T00:00:00"/>
        <d v="1900-03-06T00:00:00"/>
        <d v="1900-03-07T00:00:00"/>
        <d v="1900-03-08T00:00:00"/>
        <d v="1900-03-09T00:00:00"/>
        <d v="1900-03-10T00:00:00"/>
        <d v="1900-03-11T00:00:00"/>
        <d v="1900-03-12T00:00:00"/>
      </sharedItems>
    </cacheField>
    <cacheField name="[projectdata].[count of project (Month)].[count of project (Month)]" caption="count of project (Month)" numFmtId="0" hierarchy="26" level="1">
      <sharedItems count="3">
        <s v="Jan"/>
        <s v="Feb"/>
        <s v="Mar"/>
      </sharedItems>
    </cacheField>
    <cacheField name="[Measures].[Count of count of project]" caption="Count of count of project" numFmtId="0" hierarchy="34" level="32767"/>
  </cacheFields>
  <cacheHierarchies count="35">
    <cacheHierarchy uniqueName="[projectdata].[Year]" caption="Year" attribute="1" defaultMemberUniqueName="[projectdata].[Year].[All]" allUniqueName="[projectdata].[Year].[All]" dimensionUniqueName="[projectdata]" displayFolder="" count="0" memberValueDatatype="20" unbalanced="0"/>
    <cacheHierarchy uniqueName="[projectdata].[Month]" caption="Month" attribute="1" defaultMemberUniqueName="[projectdata].[Month].[All]" allUniqueName="[projectdata].[Month].[All]" dimensionUniqueName="[projectdata]" displayFolder="" count="2" memberValueDatatype="130" unbalanced="0">
      <fieldsUsage count="2">
        <fieldUsage x="-1"/>
        <fieldUsage x="0"/>
      </fieldsUsage>
    </cacheHierarchy>
    <cacheHierarchy uniqueName="[projectdata].[Project ID Number]" caption="Project ID Number" attribute="1" defaultMemberUniqueName="[projectdata].[Project ID Number].[All]" allUniqueName="[projectdata].[Project ID Number].[All]" dimensionUniqueName="[projectdata]" displayFolder="" count="0" memberValueDatatype="20" unbalanced="0"/>
    <cacheHierarchy uniqueName="[projectdata].[Project Name]" caption="Project Name" attribute="1" defaultMemberUniqueName="[projectdata].[Project Name].[All]" allUniqueName="[projectdata].[Project Name].[All]" dimensionUniqueName="[projectdata]" displayFolder="" count="0" memberValueDatatype="130" unbalanced="0"/>
    <cacheHierarchy uniqueName="[projectdata].[Status]" caption="Status" attribute="1" defaultMemberUniqueName="[projectdata].[Status].[All]" allUniqueName="[projectdata].[Status].[All]" dimensionUniqueName="[projectdata]" displayFolder="" count="0" memberValueDatatype="130" unbalanced="0"/>
    <cacheHierarchy uniqueName="[projectdata].[Project Value]" caption="Project Value" attribute="1" defaultMemberUniqueName="[projectdata].[Project Value].[All]" allUniqueName="[projectdata].[Project Value].[All]" dimensionUniqueName="[projectdata]" displayFolder="" count="0" memberValueDatatype="20" unbalanced="0"/>
    <cacheHierarchy uniqueName="[projectdata].[Project Descriptions]" caption="Project Descriptions" attribute="1" defaultMemberUniqueName="[projectdata].[Project Descriptions].[All]" allUniqueName="[projectdata].[Project Descriptions].[All]" dimensionUniqueName="[projectdata]" displayFolder="" count="0" memberValueDatatype="130" unbalanced="0"/>
    <cacheHierarchy uniqueName="[projectdata].[Project Type]" caption="Project Type" attribute="1" defaultMemberUniqueName="[projectdata].[Project Type].[All]" allUniqueName="[projectdata].[Project Type].[All]" dimensionUniqueName="[projectdata]" displayFolder="" count="0" memberValueDatatype="130" unbalanced="0"/>
    <cacheHierarchy uniqueName="[projectdata].[9]" caption="9" attribute="1" defaultMemberUniqueName="[projectdata].[9].[All]" allUniqueName="[projectdata].[9].[All]" dimensionUniqueName="[projectdata]" displayFolder="" count="0" memberValueDatatype="130" unbalanced="0"/>
    <cacheHierarchy uniqueName="[projectdata].[Substatus]" caption="Substatus" attribute="1" defaultMemberUniqueName="[projectdata].[Substatus].[All]" allUniqueName="[projectdata].[Substatus].[All]" dimensionUniqueName="[projectdata]" displayFolder="" count="0" memberValueDatatype="130" unbalanced="0"/>
    <cacheHierarchy uniqueName="[projectdata].[Project Manager]" caption="Project Manager" attribute="1" defaultMemberUniqueName="[projectdata].[Project Manager].[All]" allUniqueName="[projectdata].[Project Manager].[All]" dimensionUniqueName="[projectdata]" displayFolder="" count="0" memberValueDatatype="130" unbalanced="0"/>
    <cacheHierarchy uniqueName="[projectdata].[Developers]" caption="Developers" attribute="1" defaultMemberUniqueName="[projectdata].[Developers].[All]" allUniqueName="[projectdata].[Developers].[All]" dimensionUniqueName="[projectdata]" displayFolder="" count="0" memberValueDatatype="130" unbalanced="0"/>
    <cacheHierarchy uniqueName="[projectdata].[Business Analyst]" caption="Business Analyst" attribute="1" defaultMemberUniqueName="[projectdata].[Business Analyst].[All]" allUniqueName="[projectdata].[Business Analyst].[All]" dimensionUniqueName="[projectdata]" displayFolder="" count="0" memberValueDatatype="130" unbalanced="0"/>
    <cacheHierarchy uniqueName="[projectdata].[Next Action]" caption="Next Action" attribute="1" defaultMemberUniqueName="[projectdata].[Next Action].[All]" allUniqueName="[projectdata].[Next Action].[All]" dimensionUniqueName="[projectdata]" displayFolder="" count="0" memberValueDatatype="130" unbalanced="0"/>
    <cacheHierarchy uniqueName="[projectdata].[ITQA]" caption="ITQA" attribute="1" defaultMemberUniqueName="[projectdata].[ITQA].[All]" allUniqueName="[projectdata].[ITQA].[All]" dimensionUniqueName="[projectdata]" displayFolder="" count="0" memberValueDatatype="130" unbalanced="0"/>
    <cacheHierarchy uniqueName="[projectdata].[FTE Savings]" caption="FTE Savings" attribute="1" defaultMemberUniqueName="[projectdata].[FTE Savings].[All]" allUniqueName="[projectdata].[FTE Savings].[All]" dimensionUniqueName="[projectdata]" displayFolder="" count="0" memberValueDatatype="20" unbalanced="0"/>
    <cacheHierarchy uniqueName="[projectdata].[Working Hours]" caption="Working Hours" attribute="1" defaultMemberUniqueName="[projectdata].[Working Hours].[All]" allUniqueName="[projectdata].[Working Hours].[All]" dimensionUniqueName="[projectdata]" displayFolder="" count="0" memberValueDatatype="5" unbalanced="0"/>
    <cacheHierarchy uniqueName="[projectdata].[Start date]" caption="Start date" attribute="1" time="1" defaultMemberUniqueName="[projectdata].[Start date].[All]" allUniqueName="[projectdata].[Start date].[All]" dimensionUniqueName="[projectdata]" displayFolder="" count="0" memberValueDatatype="7" unbalanced="0"/>
    <cacheHierarchy uniqueName="[projectdata].[Dev Start Date]" caption="Dev Start Date" attribute="1" time="1" defaultMemberUniqueName="[projectdata].[Dev Start Date].[All]" allUniqueName="[projectdata].[Dev Start Date].[All]" dimensionUniqueName="[projectdata]" displayFolder="" count="0" memberValueDatatype="7" unbalanced="0"/>
    <cacheHierarchy uniqueName="[projectdata].[Internal Testing Date]" caption="Internal Testing Date" attribute="1" time="1" defaultMemberUniqueName="[projectdata].[Internal Testing Date].[All]" allUniqueName="[projectdata].[Internal Testing Date].[All]" dimensionUniqueName="[projectdata]" displayFolder="" count="0" memberValueDatatype="7" unbalanced="0"/>
    <cacheHierarchy uniqueName="[projectdata].[Target Client Testing Date]" caption="Target Client Testing Date" attribute="1" time="1" defaultMemberUniqueName="[projectdata].[Target Client Testing Date].[All]" allUniqueName="[projectdata].[Target Client Testing Date].[All]" dimensionUniqueName="[projectdata]" displayFolder="" count="0" memberValueDatatype="7" unbalanced="0"/>
    <cacheHierarchy uniqueName="[projectdata].[Actual ACC Deployment Date]" caption="Actual ACC Deployment Date" attribute="1" time="1" defaultMemberUniqueName="[projectdata].[Actual ACC Deployment Date].[All]" allUniqueName="[projectdata].[Actual ACC Deployment Date].[All]" dimensionUniqueName="[projectdata]" displayFolder="" count="0" memberValueDatatype="7" unbalanced="0"/>
    <cacheHierarchy uniqueName="[projectdata].[Target Deployment Date]" caption="Target Deployment Date" attribute="1" time="1" defaultMemberUniqueName="[projectdata].[Target Deployment Date].[All]" allUniqueName="[projectdata].[Target Deployment Date].[All]" dimensionUniqueName="[projectdata]" displayFolder="" count="0" memberValueDatatype="7" unbalanced="0"/>
    <cacheHierarchy uniqueName="[projectdata].[Actual Deployment Date]" caption="Actual Deployment Date" attribute="1" time="1" defaultMemberUniqueName="[projectdata].[Actual Deployment Date].[All]" allUniqueName="[projectdata].[Actual Deployment Date].[All]" dimensionUniqueName="[projectdata]" displayFolder="" count="0" memberValueDatatype="7" unbalanced="0"/>
    <cacheHierarchy uniqueName="[projectdata].[Manager Comments]" caption="Manager Comments" attribute="1" defaultMemberUniqueName="[projectdata].[Manager Comments].[All]" allUniqueName="[projectdata].[Manager Comments].[All]" dimensionUniqueName="[projectdata]" displayFolder="" count="0" memberValueDatatype="130" unbalanced="0"/>
    <cacheHierarchy uniqueName="[projectdata].[count of project]" caption="count of project" attribute="1" time="1" defaultMemberUniqueName="[projectdata].[count of project].[All]" allUniqueName="[projectdata].[count of project].[All]" dimensionUniqueName="[projectdata]" displayFolder="" count="2" memberValueDatatype="7" unbalanced="0">
      <fieldsUsage count="2">
        <fieldUsage x="-1"/>
        <fieldUsage x="1"/>
      </fieldsUsage>
    </cacheHierarchy>
    <cacheHierarchy uniqueName="[projectdata].[count of project (Month)]" caption="count of project (Month)" attribute="1" defaultMemberUniqueName="[projectdata].[count of project (Month)].[All]" allUniqueName="[projectdata].[count of project (Month)].[All]" dimensionUniqueName="[projectdata]" displayFolder="" count="2" memberValueDatatype="130" unbalanced="0">
      <fieldsUsage count="2">
        <fieldUsage x="-1"/>
        <fieldUsage x="2"/>
      </fieldsUsage>
    </cacheHierarchy>
    <cacheHierarchy uniqueName="[projectdata].[Start date (Month)]" caption="Start date (Month)" attribute="1" defaultMemberUniqueName="[projectdata].[Start date (Month)].[All]" allUniqueName="[projectdata].[Start date (Month)].[All]" dimensionUniqueName="[projectdata]" displayFolder="" count="0" memberValueDatatype="130" unbalanced="0"/>
    <cacheHierarchy uniqueName="[projectdata].[count of project (Month Index)]" caption="count of project (Month Index)" attribute="1" defaultMemberUniqueName="[projectdata].[count of project (Month Index)].[All]" allUniqueName="[projectdata].[count of project (Month Index)].[All]" dimensionUniqueName="[projectdata]" displayFolder="" count="0" memberValueDatatype="20" unbalanced="0" hidden="1"/>
    <cacheHierarchy uniqueName="[projectdata].[Start date (Month Index)]" caption="Start date (Month Index)" attribute="1" defaultMemberUniqueName="[projectdata].[Start date (Month Index)].[All]" allUniqueName="[projectdata].[Start date (Month Index)].[All]" dimensionUniqueName="[projectdata]" displayFolder="" count="0" memberValueDatatype="20" unbalanced="0" hidden="1"/>
    <cacheHierarchy uniqueName="[Measures].[__XL_Count projectdata]" caption="__XL_Count projectdata" measure="1" displayFolder="" measureGroup="projectdata" count="0" hidden="1"/>
    <cacheHierarchy uniqueName="[Measures].[__No measures defined]" caption="__No measures defined" measure="1" displayFolder="" count="0" hidden="1"/>
    <cacheHierarchy uniqueName="[Measures].[Count of count of project (Month)]" caption="Count of count of project (Month)" measure="1" displayFolder="" measureGroup="projectdata"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projectdata" count="0" hidden="1">
      <extLst>
        <ext xmlns:x15="http://schemas.microsoft.com/office/spreadsheetml/2010/11/main" uri="{B97F6D7D-B522-45F9-BDA1-12C45D357490}">
          <x15:cacheHierarchy aggregatedColumn="0"/>
        </ext>
      </extLst>
    </cacheHierarchy>
    <cacheHierarchy uniqueName="[Measures].[Count of count of project]" caption="Count of count of project" measure="1" displayFolder="" measureGroup="projectdata" count="0" oneField="1" hidden="1">
      <fieldsUsage count="1">
        <fieldUsage x="3"/>
      </fieldsUsage>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projectdata" uniqueName="[projectdata]" caption="projectdata"/>
  </dimensions>
  <measureGroups count="1">
    <measureGroup name="projectdata" caption="projec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3.107143171299" backgroundQuery="1" createdVersion="8" refreshedVersion="8" minRefreshableVersion="3" recordCount="0" supportSubquery="1" supportAdvancedDrill="1" xr:uid="{4C5A12DF-5011-49DA-80EB-D88A9E790A26}">
  <cacheSource type="external" connectionId="1"/>
  <cacheFields count="3">
    <cacheField name="[Measures].[Count of count of project]" caption="Count of count of project" numFmtId="0" hierarchy="34" level="32767"/>
    <cacheField name="[projectdata].[Start date].[Start date]" caption="Start date" numFmtId="0" hierarchy="17" level="1">
      <sharedItems containsSemiMixedTypes="0" containsNonDate="0" containsDate="1" containsString="0" minDate="2023-05-07T00:00:00" maxDate="2023-07-18T00:00:00" count="72">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sharedItems>
    </cacheField>
    <cacheField name="[projectdata].[Start date (Month)].[Start date (Month)]" caption="Start date (Month)" numFmtId="0" hierarchy="27" level="1">
      <sharedItems count="3">
        <s v="May"/>
        <s v="Jun"/>
        <s v="Jul"/>
      </sharedItems>
    </cacheField>
  </cacheFields>
  <cacheHierarchies count="35">
    <cacheHierarchy uniqueName="[projectdata].[Year]" caption="Year" attribute="1" defaultMemberUniqueName="[projectdata].[Year].[All]" allUniqueName="[projectdata].[Year].[All]" dimensionUniqueName="[projectdata]" displayFolder="" count="0" memberValueDatatype="20" unbalanced="0"/>
    <cacheHierarchy uniqueName="[projectdata].[Month]" caption="Month" attribute="1" defaultMemberUniqueName="[projectdata].[Month].[All]" allUniqueName="[projectdata].[Month].[All]" dimensionUniqueName="[projectdata]" displayFolder="" count="0" memberValueDatatype="130" unbalanced="0"/>
    <cacheHierarchy uniqueName="[projectdata].[Project ID Number]" caption="Project ID Number" attribute="1" defaultMemberUniqueName="[projectdata].[Project ID Number].[All]" allUniqueName="[projectdata].[Project ID Number].[All]" dimensionUniqueName="[projectdata]" displayFolder="" count="0" memberValueDatatype="20" unbalanced="0"/>
    <cacheHierarchy uniqueName="[projectdata].[Project Name]" caption="Project Name" attribute="1" defaultMemberUniqueName="[projectdata].[Project Name].[All]" allUniqueName="[projectdata].[Project Name].[All]" dimensionUniqueName="[projectdata]" displayFolder="" count="0" memberValueDatatype="130" unbalanced="0"/>
    <cacheHierarchy uniqueName="[projectdata].[Status]" caption="Status" attribute="1" defaultMemberUniqueName="[projectdata].[Status].[All]" allUniqueName="[projectdata].[Status].[All]" dimensionUniqueName="[projectdata]" displayFolder="" count="0" memberValueDatatype="130" unbalanced="0"/>
    <cacheHierarchy uniqueName="[projectdata].[Project Value]" caption="Project Value" attribute="1" defaultMemberUniqueName="[projectdata].[Project Value].[All]" allUniqueName="[projectdata].[Project Value].[All]" dimensionUniqueName="[projectdata]" displayFolder="" count="0" memberValueDatatype="20" unbalanced="0"/>
    <cacheHierarchy uniqueName="[projectdata].[Project Descriptions]" caption="Project Descriptions" attribute="1" defaultMemberUniqueName="[projectdata].[Project Descriptions].[All]" allUniqueName="[projectdata].[Project Descriptions].[All]" dimensionUniqueName="[projectdata]" displayFolder="" count="0" memberValueDatatype="130" unbalanced="0"/>
    <cacheHierarchy uniqueName="[projectdata].[Project Type]" caption="Project Type" attribute="1" defaultMemberUniqueName="[projectdata].[Project Type].[All]" allUniqueName="[projectdata].[Project Type].[All]" dimensionUniqueName="[projectdata]" displayFolder="" count="0" memberValueDatatype="130" unbalanced="0"/>
    <cacheHierarchy uniqueName="[projectdata].[9]" caption="9" attribute="1" defaultMemberUniqueName="[projectdata].[9].[All]" allUniqueName="[projectdata].[9].[All]" dimensionUniqueName="[projectdata]" displayFolder="" count="0" memberValueDatatype="130" unbalanced="0"/>
    <cacheHierarchy uniqueName="[projectdata].[Substatus]" caption="Substatus" attribute="1" defaultMemberUniqueName="[projectdata].[Substatus].[All]" allUniqueName="[projectdata].[Substatus].[All]" dimensionUniqueName="[projectdata]" displayFolder="" count="0" memberValueDatatype="130" unbalanced="0"/>
    <cacheHierarchy uniqueName="[projectdata].[Project Manager]" caption="Project Manager" attribute="1" defaultMemberUniqueName="[projectdata].[Project Manager].[All]" allUniqueName="[projectdata].[Project Manager].[All]" dimensionUniqueName="[projectdata]" displayFolder="" count="0" memberValueDatatype="130" unbalanced="0"/>
    <cacheHierarchy uniqueName="[projectdata].[Developers]" caption="Developers" attribute="1" defaultMemberUniqueName="[projectdata].[Developers].[All]" allUniqueName="[projectdata].[Developers].[All]" dimensionUniqueName="[projectdata]" displayFolder="" count="0" memberValueDatatype="130" unbalanced="0"/>
    <cacheHierarchy uniqueName="[projectdata].[Business Analyst]" caption="Business Analyst" attribute="1" defaultMemberUniqueName="[projectdata].[Business Analyst].[All]" allUniqueName="[projectdata].[Business Analyst].[All]" dimensionUniqueName="[projectdata]" displayFolder="" count="0" memberValueDatatype="130" unbalanced="0"/>
    <cacheHierarchy uniqueName="[projectdata].[Next Action]" caption="Next Action" attribute="1" defaultMemberUniqueName="[projectdata].[Next Action].[All]" allUniqueName="[projectdata].[Next Action].[All]" dimensionUniqueName="[projectdata]" displayFolder="" count="0" memberValueDatatype="130" unbalanced="0"/>
    <cacheHierarchy uniqueName="[projectdata].[ITQA]" caption="ITQA" attribute="1" defaultMemberUniqueName="[projectdata].[ITQA].[All]" allUniqueName="[projectdata].[ITQA].[All]" dimensionUniqueName="[projectdata]" displayFolder="" count="0" memberValueDatatype="130" unbalanced="0"/>
    <cacheHierarchy uniqueName="[projectdata].[FTE Savings]" caption="FTE Savings" attribute="1" defaultMemberUniqueName="[projectdata].[FTE Savings].[All]" allUniqueName="[projectdata].[FTE Savings].[All]" dimensionUniqueName="[projectdata]" displayFolder="" count="0" memberValueDatatype="20" unbalanced="0"/>
    <cacheHierarchy uniqueName="[projectdata].[Working Hours]" caption="Working Hours" attribute="1" defaultMemberUniqueName="[projectdata].[Working Hours].[All]" allUniqueName="[projectdata].[Working Hours].[All]" dimensionUniqueName="[projectdata]" displayFolder="" count="0" memberValueDatatype="5" unbalanced="0"/>
    <cacheHierarchy uniqueName="[projectdata].[Start date]" caption="Start date" attribute="1" time="1" defaultMemberUniqueName="[projectdata].[Start date].[All]" allUniqueName="[projectdata].[Start date].[All]" dimensionUniqueName="[projectdata]" displayFolder="" count="2" memberValueDatatype="7" unbalanced="0">
      <fieldsUsage count="2">
        <fieldUsage x="-1"/>
        <fieldUsage x="1"/>
      </fieldsUsage>
    </cacheHierarchy>
    <cacheHierarchy uniqueName="[projectdata].[Dev Start Date]" caption="Dev Start Date" attribute="1" time="1" defaultMemberUniqueName="[projectdata].[Dev Start Date].[All]" allUniqueName="[projectdata].[Dev Start Date].[All]" dimensionUniqueName="[projectdata]" displayFolder="" count="0" memberValueDatatype="7" unbalanced="0"/>
    <cacheHierarchy uniqueName="[projectdata].[Internal Testing Date]" caption="Internal Testing Date" attribute="1" time="1" defaultMemberUniqueName="[projectdata].[Internal Testing Date].[All]" allUniqueName="[projectdata].[Internal Testing Date].[All]" dimensionUniqueName="[projectdata]" displayFolder="" count="0" memberValueDatatype="7" unbalanced="0"/>
    <cacheHierarchy uniqueName="[projectdata].[Target Client Testing Date]" caption="Target Client Testing Date" attribute="1" time="1" defaultMemberUniqueName="[projectdata].[Target Client Testing Date].[All]" allUniqueName="[projectdata].[Target Client Testing Date].[All]" dimensionUniqueName="[projectdata]" displayFolder="" count="0" memberValueDatatype="7" unbalanced="0"/>
    <cacheHierarchy uniqueName="[projectdata].[Actual ACC Deployment Date]" caption="Actual ACC Deployment Date" attribute="1" time="1" defaultMemberUniqueName="[projectdata].[Actual ACC Deployment Date].[All]" allUniqueName="[projectdata].[Actual ACC Deployment Date].[All]" dimensionUniqueName="[projectdata]" displayFolder="" count="0" memberValueDatatype="7" unbalanced="0"/>
    <cacheHierarchy uniqueName="[projectdata].[Target Deployment Date]" caption="Target Deployment Date" attribute="1" time="1" defaultMemberUniqueName="[projectdata].[Target Deployment Date].[All]" allUniqueName="[projectdata].[Target Deployment Date].[All]" dimensionUniqueName="[projectdata]" displayFolder="" count="0" memberValueDatatype="7" unbalanced="0"/>
    <cacheHierarchy uniqueName="[projectdata].[Actual Deployment Date]" caption="Actual Deployment Date" attribute="1" time="1" defaultMemberUniqueName="[projectdata].[Actual Deployment Date].[All]" allUniqueName="[projectdata].[Actual Deployment Date].[All]" dimensionUniqueName="[projectdata]" displayFolder="" count="0" memberValueDatatype="7" unbalanced="0"/>
    <cacheHierarchy uniqueName="[projectdata].[Manager Comments]" caption="Manager Comments" attribute="1" defaultMemberUniqueName="[projectdata].[Manager Comments].[All]" allUniqueName="[projectdata].[Manager Comments].[All]" dimensionUniqueName="[projectdata]" displayFolder="" count="0" memberValueDatatype="130" unbalanced="0"/>
    <cacheHierarchy uniqueName="[projectdata].[count of project]" caption="count of project" attribute="1" time="1" defaultMemberUniqueName="[projectdata].[count of project].[All]" allUniqueName="[projectdata].[count of project].[All]" dimensionUniqueName="[projectdata]" displayFolder="" count="0" memberValueDatatype="7" unbalanced="0"/>
    <cacheHierarchy uniqueName="[projectdata].[count of project (Month)]" caption="count of project (Month)" attribute="1" defaultMemberUniqueName="[projectdata].[count of project (Month)].[All]" allUniqueName="[projectdata].[count of project (Month)].[All]" dimensionUniqueName="[projectdata]" displayFolder="" count="0" memberValueDatatype="130" unbalanced="0"/>
    <cacheHierarchy uniqueName="[projectdata].[Start date (Month)]" caption="Start date (Month)" attribute="1" defaultMemberUniqueName="[projectdata].[Start date (Month)].[All]" allUniqueName="[projectdata].[Start date (Month)].[All]" dimensionUniqueName="[projectdata]" displayFolder="" count="2" memberValueDatatype="130" unbalanced="0">
      <fieldsUsage count="2">
        <fieldUsage x="-1"/>
        <fieldUsage x="2"/>
      </fieldsUsage>
    </cacheHierarchy>
    <cacheHierarchy uniqueName="[projectdata].[count of project (Month Index)]" caption="count of project (Month Index)" attribute="1" defaultMemberUniqueName="[projectdata].[count of project (Month Index)].[All]" allUniqueName="[projectdata].[count of project (Month Index)].[All]" dimensionUniqueName="[projectdata]" displayFolder="" count="0" memberValueDatatype="20" unbalanced="0" hidden="1"/>
    <cacheHierarchy uniqueName="[projectdata].[Start date (Month Index)]" caption="Start date (Month Index)" attribute="1" defaultMemberUniqueName="[projectdata].[Start date (Month Index)].[All]" allUniqueName="[projectdata].[Start date (Month Index)].[All]" dimensionUniqueName="[projectdata]" displayFolder="" count="0" memberValueDatatype="20" unbalanced="0" hidden="1"/>
    <cacheHierarchy uniqueName="[Measures].[__XL_Count projectdata]" caption="__XL_Count projectdata" measure="1" displayFolder="" measureGroup="projectdata" count="0" hidden="1"/>
    <cacheHierarchy uniqueName="[Measures].[__No measures defined]" caption="__No measures defined" measure="1" displayFolder="" count="0" hidden="1"/>
    <cacheHierarchy uniqueName="[Measures].[Count of count of project (Month)]" caption="Count of count of project (Month)" measure="1" displayFolder="" measureGroup="projectdata"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projectdata" count="0" hidden="1">
      <extLst>
        <ext xmlns:x15="http://schemas.microsoft.com/office/spreadsheetml/2010/11/main" uri="{B97F6D7D-B522-45F9-BDA1-12C45D357490}">
          <x15:cacheHierarchy aggregatedColumn="0"/>
        </ext>
      </extLst>
    </cacheHierarchy>
    <cacheHierarchy uniqueName="[Measures].[Count of count of project]" caption="Count of count of project" measure="1" displayFolder="" measureGroup="projectdata"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projectdata" uniqueName="[projectdata]" caption="projectdata"/>
  </dimensions>
  <measureGroups count="1">
    <measureGroup name="projectdata" caption="projec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n v="1068524"/>
    <x v="0"/>
    <x v="0"/>
    <n v="1841294"/>
    <x v="0"/>
    <x v="0"/>
    <x v="0"/>
    <s v="Research"/>
    <x v="0"/>
    <s v="Ahmed Daz"/>
    <s v=" Gerland Singh"/>
    <s v="Jesse Brenderman"/>
    <s v="QA Tester 3"/>
    <n v="259"/>
    <n v="570.65844604362348"/>
    <x v="0"/>
    <d v="2023-07-17T00:00:00"/>
    <d v="2023-11-19T00:00:00"/>
    <d v="2023-12-20T00:00:00"/>
    <d v="2024-01-21T00:00:00"/>
    <d v="2024-02-21T00:00:00"/>
    <d v="2024-02-22T00:00:00"/>
    <s v="Match of Health Debug Entity Excel and Elevate Training Annual Award Show White FeatherMatch of Health Debug Entity Excel and Elevate Training Annual Award Show White FeatherThe Network Linkage, Inc. Enter Coding Town Hall Meeting Switch and Swift"/>
  </r>
  <r>
    <x v="0"/>
    <x v="1"/>
    <n v="1131697"/>
    <x v="1"/>
    <x v="0"/>
    <n v="713185"/>
    <x v="1"/>
    <x v="0"/>
    <x v="0"/>
    <s v="Development - Ops"/>
    <x v="0"/>
    <s v="Eto Smith"/>
    <s v="Whittney Huttson"/>
    <s v="Valerie Lazer"/>
    <s v="QA Tester 3"/>
    <n v="332"/>
    <n v="1881.3555870421856"/>
    <x v="1"/>
    <d v="2023-07-17T00:00:00"/>
    <d v="2023-11-18T00:00:00"/>
    <d v="2023-12-19T00:00:00"/>
    <d v="2024-01-20T00:00:00"/>
    <d v="2024-02-20T00:00:00"/>
    <d v="2024-02-21T00:00:00"/>
    <s v="Meetup for the Good The Coding Expert The Discovery of Era The Success The GFI with CodesMeetup for the Good The Coding Expert The Discovery of Era The Success The GFI with CodesProject Explained Code Change Group Meetup for the Good The Social Experiment Coding League"/>
  </r>
  <r>
    <x v="1"/>
    <x v="2"/>
    <n v="1179138"/>
    <x v="2"/>
    <x v="1"/>
    <n v="1103657"/>
    <x v="2"/>
    <x v="0"/>
    <x v="0"/>
    <s v="Completed"/>
    <x v="1"/>
    <s v="Dany Jr."/>
    <s v=" Gerland Singh"/>
    <s v="Matthew Krillen"/>
    <s v="QA Tester 2"/>
    <n v="269"/>
    <n v="556.14310288293905"/>
    <x v="2"/>
    <d v="2023-07-16T00:00:00"/>
    <d v="2023-11-17T00:00:00"/>
    <d v="2023-12-18T00:00:00"/>
    <d v="2024-01-19T00:00:00"/>
    <d v="2024-02-19T00:00:00"/>
    <d v="2024-02-20T00:00:00"/>
    <s v="Coding Region The Principal of Change The Network Mentee to Mentor Mo-Money MasterclassCoding Region The Principal of Change The Network Mentee to Mentor Mo-Money MasterclassActive Achievement Impact Training Coding Region Excel and Elevate Training Excalibur Training"/>
  </r>
  <r>
    <x v="2"/>
    <x v="3"/>
    <n v="1093153"/>
    <x v="3"/>
    <x v="0"/>
    <n v="19165"/>
    <x v="3"/>
    <x v="0"/>
    <x v="1"/>
    <s v="Approved for Deployment"/>
    <x v="0"/>
    <s v="Esra Mejid"/>
    <s v="Daniel Francis"/>
    <s v="Matthew Krillen"/>
    <s v="QA Tester 5"/>
    <n v="339"/>
    <n v="480.49577479308476"/>
    <x v="3"/>
    <d v="2023-07-15T00:00:00"/>
    <d v="2023-11-16T00:00:00"/>
    <d v="2023-12-17T00:00:00"/>
    <d v="2024-01-18T00:00:00"/>
    <d v="2024-02-18T00:00:00"/>
    <d v="2024-02-19T00:00:00"/>
    <s v="Social Geek Made Box of Crayons Moving Bird Made by Me Center for Creative CodingSocial Geek Made Box of Crayons Moving Bird Made by Me Center for Creative CodingThe Discovery of Era Enter Coding Social Geek Made Remembering Our Ancestors Fast Coding"/>
  </r>
  <r>
    <x v="2"/>
    <x v="4"/>
    <n v="1097150"/>
    <x v="4"/>
    <x v="0"/>
    <n v="1605831"/>
    <x v="4"/>
    <x v="1"/>
    <x v="0"/>
    <s v="New"/>
    <x v="1"/>
    <s v="Kate Mills"/>
    <s v="Whittney Huttson"/>
    <s v="Project Management"/>
    <s v="QA Tester 3"/>
    <n v="40"/>
    <n v="1928.6767419357611"/>
    <x v="4"/>
    <d v="2023-07-14T00:00:00"/>
    <d v="2023-11-15T00:00:00"/>
    <d v="2023-12-16T00:00:00"/>
    <d v="2024-01-17T00:00:00"/>
    <d v="2024-02-17T00:00:00"/>
    <d v="2024-02-18T00:00:00"/>
    <s v="The Network Linkage, Inc. Project Explained Town Hall Meeting Switch and SwiftThe Network Linkage, Inc. Project Explained Town Hall Meeting Switch and SwiftThe Art of Codes Open Source Pundits Fast &amp; Creative Gang Charged by Codes Java Dalia"/>
  </r>
  <r>
    <x v="0"/>
    <x v="5"/>
    <n v="1148051"/>
    <x v="5"/>
    <x v="0"/>
    <n v="781749"/>
    <x v="5"/>
    <x v="2"/>
    <x v="0"/>
    <s v="Resource Assignment"/>
    <x v="0"/>
    <s v="KMK"/>
    <s v="Daniel Francis"/>
    <s v="Security Project Management"/>
    <s v="QA Tester 3"/>
    <n v="129"/>
    <n v="1742.1342008449089"/>
    <x v="5"/>
    <d v="2023-07-13T00:00:00"/>
    <d v="2023-11-14T00:00:00"/>
    <d v="2023-12-15T00:00:00"/>
    <d v="2024-01-16T00:00:00"/>
    <d v="2024-02-16T00:00:00"/>
    <d v="2024-02-17T00:00:00"/>
    <s v="Excel and Elevate Training Excalibur Training Mentee to Mentor A Salute to New Workers Robust RoutineExcel and Elevate Training Excalibur Training Mentee to Mentor A Salute to New Workers Robust RoutineThe Experienced dude Static Startup Wombat Box of Crayons Indie Profilers"/>
  </r>
  <r>
    <x v="0"/>
    <x v="6"/>
    <n v="1266200"/>
    <x v="6"/>
    <x v="1"/>
    <n v="1069260"/>
    <x v="6"/>
    <x v="3"/>
    <x v="0"/>
    <s v="Cancelled"/>
    <x v="1"/>
    <s v="Sam Jack"/>
    <s v="Scot Bridgeton"/>
    <s v="Karen Rittleton"/>
    <s v="QA Tester 5"/>
    <n v="81"/>
    <n v="81.077453267533073"/>
    <x v="6"/>
    <d v="2023-07-12T00:00:00"/>
    <d v="2023-11-13T00:00:00"/>
    <d v="2023-12-14T00:00:00"/>
    <d v="2024-01-15T00:00:00"/>
    <d v="2024-02-15T00:00:00"/>
    <d v="2024-02-16T00:00:00"/>
    <s v="Active Achievement Impact Training Code Change Group Excel and Elevate Training Excalibur TrainingActive Achievement Impact Training Code Change Group Excel and Elevate Training Excalibur TrainingA Salute to New Workers Robust Routine Linkage, Inc. Match of Health Debug Entity"/>
  </r>
  <r>
    <x v="2"/>
    <x v="2"/>
    <n v="1109819"/>
    <x v="7"/>
    <x v="0"/>
    <n v="2087922"/>
    <x v="7"/>
    <x v="4"/>
    <x v="0"/>
    <s v="Resource Assignment"/>
    <x v="1"/>
    <s v="Kate Mills"/>
    <s v="Daniel Francis"/>
    <s v="Brad Summers"/>
    <s v="QA Tester 3"/>
    <n v="72"/>
    <n v="1168.8911149445946"/>
    <x v="7"/>
    <d v="2023-07-11T00:00:00"/>
    <d v="2023-11-12T00:00:00"/>
    <d v="2023-12-13T00:00:00"/>
    <d v="2024-01-14T00:00:00"/>
    <d v="2024-02-14T00:00:00"/>
    <d v="2024-02-15T00:00:00"/>
    <s v="The Social Experiment Coding League Center for Creative Coding The Network Linkage, Inc.The Social Experiment Coding League Center for Creative Coding The Network Linkage, Inc.Town Hall Meeting Switch and Swift Fast Coding Coding Region The Principal of Change"/>
  </r>
  <r>
    <x v="2"/>
    <x v="7"/>
    <n v="1262858"/>
    <x v="8"/>
    <x v="0"/>
    <n v="1834727"/>
    <x v="8"/>
    <x v="5"/>
    <x v="0"/>
    <s v="Development - Ops"/>
    <x v="1"/>
    <s v="Dany Jr."/>
    <s v="Scot Bridgeton"/>
    <s v="William Davis"/>
    <s v="QA Tester 3"/>
    <n v="361"/>
    <n v="2146.4394662430682"/>
    <x v="8"/>
    <d v="2023-07-10T00:00:00"/>
    <d v="2023-11-11T00:00:00"/>
    <d v="2023-12-12T00:00:00"/>
    <d v="2024-01-13T00:00:00"/>
    <d v="2024-02-13T00:00:00"/>
    <d v="2024-02-14T00:00:00"/>
    <s v="Fast &amp; Creative Gang Gob Geeklords The Domain of Work The Coding Master Celestial InterfaceFast &amp; Creative Gang Gob Geeklords The Domain of Work The Coding Master Celestial InterfaceThe Success The GFI with Codes The Experienced dude Project Explained Code Change Group"/>
  </r>
  <r>
    <x v="2"/>
    <x v="8"/>
    <n v="1156107"/>
    <x v="9"/>
    <x v="0"/>
    <n v="787311"/>
    <x v="9"/>
    <x v="2"/>
    <x v="1"/>
    <s v="Requirements"/>
    <x v="2"/>
    <s v="Sam Jack"/>
    <s v=" Gerland Singh"/>
    <s v="Shakena Underwood"/>
    <s v="QA Tester 5"/>
    <n v="74"/>
    <n v="683.34974336307641"/>
    <x v="9"/>
    <d v="2023-07-09T00:00:00"/>
    <d v="2023-11-10T00:00:00"/>
    <d v="2023-12-11T00:00:00"/>
    <d v="2024-01-12T00:00:00"/>
    <d v="2024-02-12T00:00:00"/>
    <d v="2024-02-13T00:00:00"/>
    <s v="The Coding Master Celestial Interface Debug Entity The Art of Codes Open Source PunditsThe Coding Master Celestial Interface Debug Entity The Art of Codes Open Source PunditsCharged by Codes Java Dalia Wide Stringer The Experienced dude Static Startup"/>
  </r>
  <r>
    <x v="1"/>
    <x v="6"/>
    <n v="1078298"/>
    <x v="10"/>
    <x v="0"/>
    <n v="147850"/>
    <x v="10"/>
    <x v="0"/>
    <x v="1"/>
    <s v="Research"/>
    <x v="3"/>
    <s v="Esra Mejid"/>
    <s v="Scot Bridgeton"/>
    <s v="Eddy Vertil"/>
    <s v="QA Tester 3"/>
    <n v="348"/>
    <n v="175.50277022347149"/>
    <x v="10"/>
    <d v="2023-07-08T00:00:00"/>
    <d v="2023-11-09T00:00:00"/>
    <d v="2023-12-10T00:00:00"/>
    <d v="2024-01-11T00:00:00"/>
    <d v="2024-02-11T00:00:00"/>
    <d v="2024-02-12T00:00:00"/>
    <s v="Excel and Elevate Training Excalibur Training Mentee to Mentor A Salute to New Workers Robust RoutineExcel and Elevate Training Excalibur Training Mentee to Mentor A Salute to New Workers Robust RoutineThe Successful Project Software Chasers Excalibur Training Fast &amp; Creative Gang Gob Geeklords"/>
  </r>
  <r>
    <x v="1"/>
    <x v="5"/>
    <n v="1159126"/>
    <x v="11"/>
    <x v="1"/>
    <n v="100345"/>
    <x v="11"/>
    <x v="3"/>
    <x v="2"/>
    <s v="Completed"/>
    <x v="2"/>
    <s v="Sam Jack"/>
    <s v="Scot Bridgeton"/>
    <s v="Nicolas Centrio"/>
    <s v="QA Tester 8"/>
    <n v="187"/>
    <n v="407.24774436537365"/>
    <x v="11"/>
    <d v="2023-07-07T00:00:00"/>
    <d v="2023-11-08T00:00:00"/>
    <d v="2023-12-09T00:00:00"/>
    <d v="2024-01-10T00:00:00"/>
    <d v="2024-02-10T00:00:00"/>
    <d v="2024-02-11T00:00:00"/>
    <s v="7th Annual Workshop Wide Stringer Mo-Money Masterclass The Domain of Work Wombat7th Annual Workshop Wide Stringer Mo-Money Masterclass The Domain of Work WombatThe Successful Project Software Chasers Excalibur Training Fast &amp; Creative Gang Gob Geeklords"/>
  </r>
  <r>
    <x v="0"/>
    <x v="9"/>
    <n v="1020142"/>
    <x v="12"/>
    <x v="0"/>
    <n v="622447"/>
    <x v="12"/>
    <x v="2"/>
    <x v="0"/>
    <s v="Testing - Client"/>
    <x v="0"/>
    <s v="Sahar Rashad"/>
    <s v="Mei Lee"/>
    <s v="Arthur Knight"/>
    <s v="QA Tester 5"/>
    <n v="162"/>
    <n v="506.42999846390745"/>
    <x v="12"/>
    <d v="2023-07-06T00:00:00"/>
    <d v="2023-11-07T00:00:00"/>
    <d v="2023-12-08T00:00:00"/>
    <d v="2024-01-09T00:00:00"/>
    <d v="2024-02-09T00:00:00"/>
    <d v="2024-02-10T00:00:00"/>
    <s v="The Art of Codes Open Source Pundits White Feather Charged by Codes Java DaliaThe Art of Codes Open Source Pundits White Feather Charged by Codes Java DaliaThe Experienced dude Static Startup Wombat Box of Crayons Indie Profilers"/>
  </r>
  <r>
    <x v="0"/>
    <x v="1"/>
    <n v="1080464"/>
    <x v="13"/>
    <x v="0"/>
    <n v="2006035"/>
    <x v="13"/>
    <x v="4"/>
    <x v="0"/>
    <s v="Resource Assignment"/>
    <x v="1"/>
    <s v="Esra Mejid"/>
    <s v=" Gerland Singh"/>
    <s v="Mary Frittle"/>
    <s v="QA Tester 3"/>
    <n v="192"/>
    <n v="535.01336438347414"/>
    <x v="13"/>
    <d v="2023-07-05T00:00:00"/>
    <d v="2023-11-06T00:00:00"/>
    <d v="2023-12-07T00:00:00"/>
    <d v="2024-01-08T00:00:00"/>
    <d v="2024-02-08T00:00:00"/>
    <d v="2024-02-09T00:00:00"/>
    <s v="The Blue Bird The Experienced dude The Domain of Work Social Geek Made Box of CrayonsThe Blue Bird The Experienced dude The Domain of Work Social Geek Made Box of CrayonsMade by Me Center for Creative Coding Fast &amp; Creative Gang The Discovery of Era Enter Coding"/>
  </r>
  <r>
    <x v="2"/>
    <x v="4"/>
    <n v="1162318"/>
    <x v="14"/>
    <x v="0"/>
    <n v="615544"/>
    <x v="0"/>
    <x v="6"/>
    <x v="0"/>
    <s v="Completed"/>
    <x v="0"/>
    <s v="Kate Mills"/>
    <s v="Whittney Huttson"/>
    <s v="Seth Pence"/>
    <s v="QA Tester 3"/>
    <n v="255"/>
    <n v="64.353348411646962"/>
    <x v="14"/>
    <d v="2023-07-04T00:00:00"/>
    <d v="2023-11-05T00:00:00"/>
    <d v="2023-12-06T00:00:00"/>
    <d v="2024-01-07T00:00:00"/>
    <d v="2024-02-07T00:00:00"/>
    <d v="2024-02-08T00:00:00"/>
    <s v="Fast &amp; Creative Gang Gob Geeklords Robust Routine The Coding Master Celestial InterfaceFast &amp; Creative Gang Gob Geeklords Robust Routine The Coding Master Celestial InterfaceThe Art of Codes Open Source Pundits White Feather Charged by Codes Java Dalia"/>
  </r>
  <r>
    <x v="0"/>
    <x v="9"/>
    <n v="1142784"/>
    <x v="15"/>
    <x v="0"/>
    <n v="1939802"/>
    <x v="14"/>
    <x v="3"/>
    <x v="0"/>
    <s v="Testing - Ops"/>
    <x v="1"/>
    <s v="Sam Jack"/>
    <s v="Whittney Huttson"/>
    <s v="Christine Dayton"/>
    <s v="QA Tester 4"/>
    <n v="40"/>
    <n v="257.96585668397404"/>
    <x v="15"/>
    <d v="2023-07-03T00:00:00"/>
    <d v="2023-11-04T00:00:00"/>
    <d v="2023-12-05T00:00:00"/>
    <d v="2024-01-06T00:00:00"/>
    <d v="2024-02-06T00:00:00"/>
    <d v="2024-02-07T00:00:00"/>
    <s v="Mentee to Mentor Mo-Money Masterclass Town Hall Meeting Active Achievement Impact TrainingMentee to Mentor Mo-Money Masterclass Town Hall Meeting Active Achievement Impact TrainingExcel and Elevate Training Excalibur Training Mentee to Mentor A Salute to New Workers Robust Routine"/>
  </r>
  <r>
    <x v="2"/>
    <x v="10"/>
    <n v="1159114"/>
    <x v="16"/>
    <x v="1"/>
    <n v="1631076"/>
    <x v="15"/>
    <x v="1"/>
    <x v="0"/>
    <s v="Completed"/>
    <x v="1"/>
    <s v="Kate Mills"/>
    <s v="Whittney Huttson"/>
    <s v="Kenneth Wright"/>
    <s v="QA Tester 5"/>
    <n v="225"/>
    <n v="1671.1463657911445"/>
    <x v="16"/>
    <d v="2023-07-02T00:00:00"/>
    <d v="2023-11-03T00:00:00"/>
    <d v="2023-12-04T00:00:00"/>
    <d v="2024-01-05T00:00:00"/>
    <d v="2024-02-05T00:00:00"/>
    <d v="2024-02-06T00:00:00"/>
    <s v="The Domain of Work Wombat Annual Award Show The Successful Project Software ChasersThe Domain of Work Wombat Annual Award Show The Successful Project Software ChasersFast &amp; Creative Gang Gob Geeklords The Domain of Work The Coding Master Celestial Interface"/>
  </r>
  <r>
    <x v="0"/>
    <x v="11"/>
    <n v="1115640"/>
    <x v="17"/>
    <x v="0"/>
    <n v="144333"/>
    <x v="5"/>
    <x v="5"/>
    <x v="0"/>
    <s v="Task and Hours"/>
    <x v="3"/>
    <s v="Dany Jr."/>
    <s v=" Gerland Singh"/>
    <s v="William Davis"/>
    <s v="QA Tester 3"/>
    <n v="56"/>
    <n v="1869.7737907039868"/>
    <x v="17"/>
    <d v="2023-07-01T00:00:00"/>
    <d v="2023-11-02T00:00:00"/>
    <d v="2023-12-03T00:00:00"/>
    <d v="2024-01-04T00:00:00"/>
    <d v="2024-02-04T00:00:00"/>
    <d v="2024-02-05T00:00:00"/>
    <s v="The Domain of Work Wombat Impact Training The Successful Project Software ChasersThe Domain of Work Wombat Impact Training The Successful Project Software ChasersFast &amp; Creative Gang Gob Geeklords Robust Routine The Coding Master Celestial Interface"/>
  </r>
  <r>
    <x v="1"/>
    <x v="10"/>
    <n v="1159144"/>
    <x v="18"/>
    <x v="1"/>
    <n v="1291996"/>
    <x v="16"/>
    <x v="5"/>
    <x v="0"/>
    <s v="Completed"/>
    <x v="1"/>
    <s v="Esra Mejid"/>
    <s v="Scot Bridgeton"/>
    <s v="Jamie Foxxie"/>
    <s v="QA Tester 3"/>
    <n v="63"/>
    <n v="1003.4668457550903"/>
    <x v="18"/>
    <d v="2023-06-30T00:00:00"/>
    <d v="2023-11-01T00:00:00"/>
    <d v="2023-12-02T00:00:00"/>
    <d v="2024-01-03T00:00:00"/>
    <d v="2024-02-03T00:00:00"/>
    <d v="2024-02-04T00:00:00"/>
    <s v="7th Annual Workshop Wide Stringer Match of Health The Domain of Work Wombat7th Annual Workshop Wide Stringer Match of Health The Domain of Work WombatThe Successful Project Software Chasers 7th Annual Workshop Fast &amp; Creative Gang Gob Geeklords"/>
  </r>
  <r>
    <x v="0"/>
    <x v="11"/>
    <n v="1295673"/>
    <x v="19"/>
    <x v="0"/>
    <n v="1175427"/>
    <x v="17"/>
    <x v="2"/>
    <x v="0"/>
    <s v="Requirements"/>
    <x v="1"/>
    <s v="Sam Jack"/>
    <s v="Scot Bridgeton"/>
    <s v="Eddy Vertil"/>
    <s v="QA Tester 3"/>
    <n v="78"/>
    <n v="934.77049543716464"/>
    <x v="19"/>
    <d v="2023-06-29T00:00:00"/>
    <d v="2023-10-31T00:00:00"/>
    <d v="2023-12-01T00:00:00"/>
    <d v="2024-01-02T00:00:00"/>
    <d v="2024-02-02T00:00:00"/>
    <d v="2024-02-03T00:00:00"/>
    <s v="Mentee to Mentor Mo-Money Masterclass The GFI with Codes Active Achievement Impact TrainingMentee to Mentor Mo-Money Masterclass The GFI with Codes Active Achievement Impact TrainingExcel and Elevate Training Excalibur Training Coding League A Salute to New Workers Robust Routine"/>
  </r>
  <r>
    <x v="2"/>
    <x v="0"/>
    <n v="988245"/>
    <x v="20"/>
    <x v="0"/>
    <n v="202440"/>
    <x v="18"/>
    <x v="1"/>
    <x v="0"/>
    <s v="Completed"/>
    <x v="0"/>
    <s v="Kate Mills"/>
    <s v="Scot Bridgeton"/>
    <s v="Amy Zimmerman"/>
    <s v="QA Tester 3"/>
    <n v="221"/>
    <n v="229.73274154813265"/>
    <x v="20"/>
    <d v="2023-06-28T00:00:00"/>
    <d v="2023-10-30T00:00:00"/>
    <d v="2023-11-30T00:00:00"/>
    <d v="2024-01-01T00:00:00"/>
    <d v="2024-02-01T00:00:00"/>
    <d v="2024-02-02T00:00:00"/>
    <s v="Excel and Elevate Training Excalibur Training Mentee to Mentor A Salute to New Workers Robust RoutineExcel and Elevate Training Excalibur Training Mentee to Mentor A Salute to New Workers Robust RoutineTown Hall Meeting Switch and Swift Fast Coding Coding Region The Principal of Change"/>
  </r>
  <r>
    <x v="2"/>
    <x v="0"/>
    <n v="1141994"/>
    <x v="21"/>
    <x v="0"/>
    <n v="2100300"/>
    <x v="19"/>
    <x v="2"/>
    <x v="2"/>
    <s v="Scheduled for Deployment"/>
    <x v="3"/>
    <s v="Sam Jack"/>
    <s v="Mei Lee"/>
    <s v="Nicolas Centrio"/>
    <s v="QA Tester 3"/>
    <n v="157"/>
    <n v="1144.4193127749793"/>
    <x v="21"/>
    <d v="2023-06-27T00:00:00"/>
    <d v="2023-10-29T00:00:00"/>
    <d v="2023-11-29T00:00:00"/>
    <d v="2023-12-31T00:00:00"/>
    <d v="2024-01-31T00:00:00"/>
    <d v="2024-02-01T00:00:00"/>
    <s v="In Recognition of Codes The Art of Codes Annual Award Show Moving Bird Charged by CodesIn Recognition of Codes The Art of Codes Annual Award Show Moving Bird Charged by CodesThe Blue Bird The Experienced dude The Domain of Work Social Geek Made Box of Crayons"/>
  </r>
  <r>
    <x v="2"/>
    <x v="3"/>
    <n v="1097241"/>
    <x v="22"/>
    <x v="1"/>
    <n v="808678"/>
    <x v="20"/>
    <x v="2"/>
    <x v="2"/>
    <s v="Completed"/>
    <x v="0"/>
    <s v="Esra Mejid"/>
    <s v="Mei Lee"/>
    <s v="Bernard Suppremilo"/>
    <s v="QA Tester 7"/>
    <n v="170"/>
    <n v="1863.3327297838277"/>
    <x v="22"/>
    <d v="2023-06-26T00:00:00"/>
    <d v="2023-10-28T00:00:00"/>
    <d v="2023-11-28T00:00:00"/>
    <d v="2023-12-30T00:00:00"/>
    <d v="2024-01-30T00:00:00"/>
    <d v="2024-01-31T00:00:00"/>
    <s v="Active Achievement Impact Training Coding Region Excel and Elevate Training Excalibur TrainingActive Achievement Impact Training Coding Region Excel and Elevate Training Excalibur TrainingThe Successful Project Software Chasers Excalibur Training Fast &amp; Creative Gang Gob Geeklords"/>
  </r>
  <r>
    <x v="2"/>
    <x v="6"/>
    <n v="1097224"/>
    <x v="23"/>
    <x v="0"/>
    <n v="1836511"/>
    <x v="7"/>
    <x v="1"/>
    <x v="2"/>
    <s v="Scheduled for Deployment"/>
    <x v="0"/>
    <s v="Ahmed Daz"/>
    <s v="Whittney Huttson"/>
    <s v="Project Management"/>
    <s v="QA Tester 3"/>
    <n v="56"/>
    <n v="1927.81011332669"/>
    <x v="23"/>
    <d v="2023-06-25T00:00:00"/>
    <d v="2023-10-27T00:00:00"/>
    <d v="2023-11-27T00:00:00"/>
    <d v="2023-12-29T00:00:00"/>
    <d v="2024-01-29T00:00:00"/>
    <d v="2024-01-30T00:00:00"/>
    <s v="Annual Award Show White Feather A Salute to New Workers 7th Annual Workshop Wide StringerAnnual Award Show White Feather A Salute to New Workers 7th Annual Workshop Wide StringerExcalibur Training  Town Hall Meeting Robust Routine "/>
  </r>
  <r>
    <x v="2"/>
    <x v="7"/>
    <n v="1082321"/>
    <x v="24"/>
    <x v="0"/>
    <n v="966555"/>
    <x v="21"/>
    <x v="6"/>
    <x v="0"/>
    <s v="Testing - Ops"/>
    <x v="3"/>
    <s v="Ahmed Daz"/>
    <s v="Whittney Huttson"/>
    <s v="Alison Cookadee"/>
    <s v="QA Tester 3"/>
    <n v="245"/>
    <n v="1952.5213586158916"/>
    <x v="24"/>
    <d v="2023-06-24T00:00:00"/>
    <d v="2023-10-26T00:00:00"/>
    <d v="2023-11-26T00:00:00"/>
    <d v="2023-12-28T00:00:00"/>
    <d v="2024-01-28T00:00:00"/>
    <d v="2024-01-29T00:00:00"/>
    <s v="The Successful Project Software Chasers 7th Annual Workshop Fast &amp; Creative Gang Gob GeeklordsThe Successful Project Software Chasers 7th Annual Workshop Fast &amp; Creative Gang Gob GeeklordsThe Coding Master Celestial Interface The Successful Project The Art of Codes Open Source Pundits"/>
  </r>
  <r>
    <x v="0"/>
    <x v="10"/>
    <n v="1142401"/>
    <x v="25"/>
    <x v="0"/>
    <n v="154354"/>
    <x v="22"/>
    <x v="5"/>
    <x v="0"/>
    <s v="Testing - Ops"/>
    <x v="0"/>
    <s v="Esra Mejid"/>
    <s v="NA"/>
    <s v="Ashley Queenie"/>
    <s v="QA Tester 2"/>
    <n v="39"/>
    <n v="449.35933134310818"/>
    <x v="25"/>
    <d v="2023-06-23T00:00:00"/>
    <d v="2023-10-25T00:00:00"/>
    <d v="2023-11-25T00:00:00"/>
    <d v="2023-12-27T00:00:00"/>
    <d v="2024-01-27T00:00:00"/>
    <d v="2024-01-28T00:00:00"/>
    <s v="Box of Crayons Indie Profilers Software Chasers The Blue Bird The Experienced dude Search Engine BanditsBox of Crayons Indie Profilers Software Chasers The Blue Bird The Experienced dude Search Engine BanditsSocial Geek Made Box of Crayons Moving Bird Made by Me Center for Creative Coding"/>
  </r>
  <r>
    <x v="1"/>
    <x v="9"/>
    <n v="1236730"/>
    <x v="26"/>
    <x v="0"/>
    <n v="460879"/>
    <x v="23"/>
    <x v="4"/>
    <x v="0"/>
    <s v="Completed"/>
    <x v="1"/>
    <s v="Eto Smith"/>
    <s v="Scot Bridgeton"/>
    <s v="Nate Matthers"/>
    <s v="QA Tester 9"/>
    <n v="356"/>
    <n v="814.3887975697578"/>
    <x v="26"/>
    <d v="2023-06-22T00:00:00"/>
    <d v="2023-10-24T00:00:00"/>
    <d v="2023-11-24T00:00:00"/>
    <d v="2023-12-26T00:00:00"/>
    <d v="2024-01-26T00:00:00"/>
    <d v="2024-01-27T00:00:00"/>
    <s v="The Social Experiment Coding League The Success The Network Linkage, Inc.The Social Experiment Coding League The Success The Network Linkage, Inc.Town Hall Meeting Switch and Swift The Social Experiment Coding Region The Principal of Change"/>
  </r>
  <r>
    <x v="0"/>
    <x v="8"/>
    <n v="1215509"/>
    <x v="27"/>
    <x v="0"/>
    <n v="449074"/>
    <x v="24"/>
    <x v="2"/>
    <x v="0"/>
    <s v="Resource Assignment - HOLD"/>
    <x v="1"/>
    <s v="Hossam Khalil"/>
    <s v="Mei Lee"/>
    <s v="Bobby Silvermen"/>
    <s v="QA Tester 3"/>
    <n v="172"/>
    <n v="1644.6638774789781"/>
    <x v="27"/>
    <d v="2023-06-21T00:00:00"/>
    <d v="2023-10-23T00:00:00"/>
    <d v="2023-11-23T00:00:00"/>
    <d v="2023-12-25T00:00:00"/>
    <d v="2024-01-25T00:00:00"/>
    <d v="2024-01-26T00:00:00"/>
    <s v="Active Achievement Impact Training Coding Region Excel and Elevate Training Excalibur TrainingActive Achievement Impact Training Coding Region Excel and Elevate Training Excalibur TrainingFast &amp; Creative Gang Gob Geeklords Robust Routine The Coding Master Celestial Interface"/>
  </r>
  <r>
    <x v="1"/>
    <x v="5"/>
    <n v="1163655"/>
    <x v="28"/>
    <x v="1"/>
    <n v="50683"/>
    <x v="25"/>
    <x v="2"/>
    <x v="0"/>
    <s v="Cancelled"/>
    <x v="1"/>
    <s v="Sam Jack"/>
    <s v=" Gerland Singh"/>
    <s v="Wayne Bruceton"/>
    <s v="QA Tester 2"/>
    <n v="55"/>
    <n v="1424.5446060264007"/>
    <x v="28"/>
    <d v="2023-06-20T00:00:00"/>
    <d v="2023-10-22T00:00:00"/>
    <d v="2023-11-22T00:00:00"/>
    <d v="2023-12-24T00:00:00"/>
    <d v="2024-01-24T00:00:00"/>
    <d v="2024-01-25T00:00:00"/>
    <s v="Match of Health Debug Entity Excel and Elevate Training Annual Award Show White FeatherMatch of Health Debug Entity Excel and Elevate Training Annual Award Show White Feather7th Annual Workshop Wide Stringer Match of Health The Domain of Work Wombat"/>
  </r>
  <r>
    <x v="2"/>
    <x v="5"/>
    <n v="1112502"/>
    <x v="29"/>
    <x v="0"/>
    <n v="1828852"/>
    <x v="26"/>
    <x v="4"/>
    <x v="0"/>
    <s v="Task and Hours"/>
    <x v="3"/>
    <s v="Sam Jack"/>
    <s v="Mei Lee"/>
    <s v="Eddy Vertil"/>
    <s v="QA Tester 3"/>
    <n v="55"/>
    <n v="1339.6972279833578"/>
    <x v="29"/>
    <d v="2023-06-19T00:00:00"/>
    <d v="2023-10-21T00:00:00"/>
    <d v="2023-11-21T00:00:00"/>
    <d v="2023-12-23T00:00:00"/>
    <d v="2024-01-23T00:00:00"/>
    <d v="2024-01-24T00:00:00"/>
    <s v="Town Hall Meeting Switch and Swift The Social Experiment Coding Region The Principal of ChangeTown Hall Meeting Switch and Swift The Social Experiment Coding Region The Principal of ChangeMentee to Mentor Mo-Money Masterclass Town Hall Meeting Active Achievement Impact Training"/>
  </r>
  <r>
    <x v="1"/>
    <x v="7"/>
    <n v="1080956"/>
    <x v="30"/>
    <x v="1"/>
    <n v="1224898"/>
    <x v="27"/>
    <x v="2"/>
    <x v="0"/>
    <s v="Completed"/>
    <x v="1"/>
    <s v="Dany Jr."/>
    <s v="Scot Bridgeton"/>
    <s v="Bernard Suppremilo"/>
    <s v="QA Tester 3"/>
    <n v="106"/>
    <n v="103.98292797389139"/>
    <x v="30"/>
    <d v="2023-06-18T00:00:00"/>
    <d v="2023-10-20T00:00:00"/>
    <d v="2023-11-20T00:00:00"/>
    <d v="2023-12-22T00:00:00"/>
    <d v="2024-01-22T00:00:00"/>
    <d v="2024-01-23T00:00:00"/>
    <s v="Match of Health Debug Entity Excel and Elevate Training Annual Award Show White FeatherMatch of Health Debug Entity Excel and Elevate Training Annual Award Show White Feather"/>
  </r>
  <r>
    <x v="2"/>
    <x v="5"/>
    <n v="1082423"/>
    <x v="31"/>
    <x v="0"/>
    <n v="247782"/>
    <x v="28"/>
    <x v="2"/>
    <x v="0"/>
    <s v="On Hold"/>
    <x v="0"/>
    <s v="Esra Mejid"/>
    <s v=" Gerland Singh"/>
    <s v="Shakena Underwood"/>
    <s v="QA Tester 3"/>
    <n v="73"/>
    <n v="1650.1385334030429"/>
    <x v="31"/>
    <d v="2023-06-17T00:00:00"/>
    <d v="2023-10-19T00:00:00"/>
    <d v="2023-11-19T00:00:00"/>
    <d v="2023-12-21T00:00:00"/>
    <d v="2024-01-21T00:00:00"/>
    <d v="2024-01-22T00:00:00"/>
    <s v="Town Hall Meeting Switch and Swift Fast Coding Coding Region The Principal of ChangeTown Hall Meeting Switch and Swift Fast Coding Coding Region The Principal of ChangeMentee to Mentor Mo-Money Masterclass The GFI with Codes Active Achievement Impact Training"/>
  </r>
  <r>
    <x v="0"/>
    <x v="0"/>
    <n v="1297183"/>
    <x v="32"/>
    <x v="0"/>
    <n v="582134"/>
    <x v="29"/>
    <x v="3"/>
    <x v="0"/>
    <s v="New"/>
    <x v="1"/>
    <s v="Kate Mills"/>
    <s v="Whittney Huttson"/>
    <s v="Eddy Vertil"/>
    <s v="QA Tester 3"/>
    <n v="121"/>
    <n v="1899.1279751204959"/>
    <x v="32"/>
    <d v="2023-06-16T00:00:00"/>
    <d v="2023-10-18T00:00:00"/>
    <d v="2023-11-18T00:00:00"/>
    <d v="2023-12-20T00:00:00"/>
    <d v="2024-01-20T00:00:00"/>
    <d v="2024-01-21T00:00:00"/>
    <s v="Match of Health Debug Entity Switch and Swift Annual Award Show White FeatherMatch of Health Debug Entity Switch and Swift Annual Award Show White Feather7th Annual Workshop Wide Stringer Mo-Money Masterclass The Domain of Work Wombat"/>
  </r>
  <r>
    <x v="0"/>
    <x v="4"/>
    <n v="1294081"/>
    <x v="33"/>
    <x v="0"/>
    <n v="1920909"/>
    <x v="30"/>
    <x v="5"/>
    <x v="0"/>
    <s v="Research"/>
    <x v="1"/>
    <s v="Dany Jr."/>
    <s v="Whittney Huttson"/>
    <s v="Eddy Vertil"/>
    <s v="QA Tester 3"/>
    <n v="39"/>
    <n v="1004.0360055005815"/>
    <x v="33"/>
    <d v="2023-06-15T00:00:00"/>
    <d v="2023-10-17T00:00:00"/>
    <d v="2023-11-17T00:00:00"/>
    <d v="2023-12-19T00:00:00"/>
    <d v="2024-01-19T00:00:00"/>
    <d v="2024-01-20T00:00:00"/>
    <s v="Annual Award Show White Feather The Principal of Change 7th Annual Workshop Wide StringerAnnual Award Show White Feather The Principal of Change 7th Annual Workshop Wide StringerThe Domain of Work Wombat Impact Training The Successful Project Software Chasers"/>
  </r>
  <r>
    <x v="0"/>
    <x v="8"/>
    <n v="1232538"/>
    <x v="34"/>
    <x v="0"/>
    <n v="705928"/>
    <x v="31"/>
    <x v="2"/>
    <x v="0"/>
    <s v="Task and Hours"/>
    <x v="3"/>
    <s v="Kate Mills"/>
    <s v="Scot Bridgeton"/>
    <s v="Eddy Vertil"/>
    <s v="QA Tester 3"/>
    <n v="110"/>
    <n v="159.71828054934994"/>
    <x v="34"/>
    <d v="2023-06-14T00:00:00"/>
    <d v="2023-10-16T00:00:00"/>
    <d v="2023-11-16T00:00:00"/>
    <d v="2023-12-18T00:00:00"/>
    <d v="2024-01-18T00:00:00"/>
    <d v="2024-01-19T00:00:00"/>
    <s v="Excel and Elevate Training Excalibur Training Coding League A Salute to New Workers Robust RoutineExcel and Elevate Training Excalibur Training Coding League A Salute to New Workers Robust RoutineMatch of Health Debug Entity Switch and Swift Annual Award Show White Feather"/>
  </r>
  <r>
    <x v="1"/>
    <x v="2"/>
    <n v="1185043"/>
    <x v="35"/>
    <x v="0"/>
    <n v="1145021"/>
    <x v="32"/>
    <x v="6"/>
    <x v="0"/>
    <s v="Completed"/>
    <x v="0"/>
    <s v="Esra Mejid"/>
    <s v=" Gerland Singh"/>
    <s v="Eddy Vertil"/>
    <s v="QA Tester 3"/>
    <n v="40"/>
    <n v="1875.0481546845629"/>
    <x v="35"/>
    <d v="2023-06-13T00:00:00"/>
    <d v="2023-10-15T00:00:00"/>
    <d v="2023-11-15T00:00:00"/>
    <d v="2023-12-17T00:00:00"/>
    <d v="2024-01-17T00:00:00"/>
    <d v="2024-01-18T00:00:00"/>
    <s v="Annual Award Show White Feather A Salute to New Workers 7th Annual Workshop Wide StringerAnnual Award Show White Feather A Salute to New Workers 7th Annual Workshop Wide StringerThe Domain of Work Wombat Annual Award Show The Successful Project Software Chasers"/>
  </r>
  <r>
    <x v="0"/>
    <x v="7"/>
    <n v="1092547"/>
    <x v="36"/>
    <x v="0"/>
    <n v="1344257"/>
    <x v="33"/>
    <x v="3"/>
    <x v="0"/>
    <s v="Testing - IT"/>
    <x v="0"/>
    <s v="Ahmed Khalil"/>
    <s v=" Gerland Singh"/>
    <s v="Vergil Vimero"/>
    <s v="QA Tester 2"/>
    <n v="84"/>
    <n v="1420.7067702168658"/>
    <x v="36"/>
    <d v="2023-06-12T00:00:00"/>
    <d v="2023-10-14T00:00:00"/>
    <d v="2023-11-14T00:00:00"/>
    <d v="2023-12-16T00:00:00"/>
    <d v="2024-01-16T00:00:00"/>
    <d v="2024-01-17T00:00:00"/>
    <s v="The Experienced dude Static Startup Wombat Box of Crayons Indie ProfilersThe Experienced dude Static Startup Wombat Box of Crayons Indie ProfilersThe Blue Bird The Experienced dude Search Engine Bandits In Recognition of Codes Social Geek Made Box of Crayons"/>
  </r>
  <r>
    <x v="2"/>
    <x v="2"/>
    <n v="1082757"/>
    <x v="37"/>
    <x v="0"/>
    <n v="2066209"/>
    <x v="34"/>
    <x v="1"/>
    <x v="0"/>
    <s v="Completed"/>
    <x v="3"/>
    <s v="Sam Jack"/>
    <s v="Mei Lee"/>
    <s v="Eddy Vertil"/>
    <s v="QA Tester 3"/>
    <n v="198"/>
    <n v="1195.5233925534719"/>
    <x v="37"/>
    <d v="2023-06-11T00:00:00"/>
    <d v="2023-10-13T00:00:00"/>
    <d v="2023-11-13T00:00:00"/>
    <d v="2023-12-15T00:00:00"/>
    <d v="2024-01-15T00:00:00"/>
    <d v="2024-01-16T00:00:00"/>
    <s v="The Coding Master Celestial Interface The Successful Project The Art of Codes Open Source PunditsThe Coding Master Celestial Interface The Successful Project The Art of Codes Open Source PunditsThe Principal of Change  Project Explained Mo-Money Masterclass "/>
  </r>
  <r>
    <x v="0"/>
    <x v="2"/>
    <n v="1118371"/>
    <x v="38"/>
    <x v="0"/>
    <n v="1731089"/>
    <x v="35"/>
    <x v="2"/>
    <x v="0"/>
    <s v="Development - Ops"/>
    <x v="0"/>
    <s v="Farid Ahmed"/>
    <s v=" Gerland Singh"/>
    <s v="Vergil Vimero"/>
    <s v="QA Tester 2"/>
    <n v="91"/>
    <n v="2011.2859166693781"/>
    <x v="38"/>
    <d v="2023-06-10T00:00:00"/>
    <d v="2023-10-12T00:00:00"/>
    <d v="2023-11-12T00:00:00"/>
    <d v="2023-12-14T00:00:00"/>
    <d v="2024-01-14T00:00:00"/>
    <d v="2024-01-15T00:00:00"/>
    <s v="The Success The GFI with Codes The Experienced dude Project Explained Code Change GroupThe Success The GFI with Codes The Experienced dude Project Explained Code Change GroupThe Social Experiment Coding League Center for Creative Coding The Network Linkage, Inc."/>
  </r>
  <r>
    <x v="0"/>
    <x v="2"/>
    <n v="1052501"/>
    <x v="39"/>
    <x v="0"/>
    <n v="330428"/>
    <x v="34"/>
    <x v="2"/>
    <x v="0"/>
    <s v="Development - Security"/>
    <x v="0"/>
    <s v="Esra Mejid"/>
    <s v="Mei Lee"/>
    <s v="Eddy Vertil"/>
    <s v="QA Tester 3"/>
    <n v="151"/>
    <n v="2001.6229587246085"/>
    <x v="39"/>
    <d v="2023-06-09T00:00:00"/>
    <d v="2023-10-11T00:00:00"/>
    <d v="2023-11-11T00:00:00"/>
    <d v="2023-12-13T00:00:00"/>
    <d v="2024-01-13T00:00:00"/>
    <d v="2024-01-14T00:00:00"/>
    <s v="Meetup for the Good The Coding Expert Charged by Codes The Success The GFI with CodesMeetup for the Good The Coding Expert Charged by Codes The Success The GFI with CodesProject Explained Code Change Group Box of Crayons The Social Experiment Coding League"/>
  </r>
  <r>
    <x v="1"/>
    <x v="9"/>
    <n v="1214146"/>
    <x v="40"/>
    <x v="1"/>
    <n v="1280291"/>
    <x v="36"/>
    <x v="1"/>
    <x v="2"/>
    <s v="Completed"/>
    <x v="1"/>
    <s v="Ahmed Daz"/>
    <s v="Mei Lee"/>
    <s v="Eddy Vertil"/>
    <s v="QA Tester 9"/>
    <n v="56"/>
    <n v="1945.9374923649157"/>
    <x v="40"/>
    <d v="2023-06-08T00:00:00"/>
    <d v="2023-10-10T00:00:00"/>
    <d v="2023-11-10T00:00:00"/>
    <d v="2023-12-12T00:00:00"/>
    <d v="2024-01-12T00:00:00"/>
    <d v="2024-01-13T00:00:00"/>
    <s v="The Blue Bird The Experienced dude Search Engine Bandits In Recognition of Codes Social Geek Made Box of CrayonsThe Blue Bird The Experienced dude Search Engine Bandits In Recognition of Codes Social Geek Made Box of CrayonsMade by Me Center for Creative Coding The Blue Bird The Discovery of Era Enter Coding"/>
  </r>
  <r>
    <x v="1"/>
    <x v="0"/>
    <n v="1081039"/>
    <x v="41"/>
    <x v="1"/>
    <n v="1097570"/>
    <x v="37"/>
    <x v="3"/>
    <x v="0"/>
    <s v="Completed"/>
    <x v="1"/>
    <s v="Haidy Hussain"/>
    <s v="Daniel Francis"/>
    <s v="Barbie Clainton"/>
    <s v="QA Tester 8"/>
    <n v="55"/>
    <n v="2048.8717017217291"/>
    <x v="41"/>
    <d v="2023-06-07T00:00:00"/>
    <d v="2023-10-09T00:00:00"/>
    <d v="2023-11-09T00:00:00"/>
    <d v="2023-12-11T00:00:00"/>
    <d v="2024-01-11T00:00:00"/>
    <d v="2024-01-12T00:00:00"/>
    <s v="Remembering Our Ancestors Fast Coding Made by Me Meetup for the Good The Coding ExpertRemembering Our Ancestors Fast Coding Made by Me Meetup for the Good The Coding ExpertThe Success The GFI with Codes Remembering Our Ancestors Project Explained Code Change Group"/>
  </r>
  <r>
    <x v="1"/>
    <x v="3"/>
    <n v="1272487"/>
    <x v="42"/>
    <x v="0"/>
    <n v="534194"/>
    <x v="8"/>
    <x v="4"/>
    <x v="0"/>
    <s v="Completed"/>
    <x v="1"/>
    <s v="Dany Jr."/>
    <s v="Mei Lee"/>
    <s v="Eddy Vertil"/>
    <s v="QA Tester 3"/>
    <n v="150"/>
    <n v="1451.7603448267653"/>
    <x v="42"/>
    <d v="2023-06-06T00:00:00"/>
    <d v="2023-10-08T00:00:00"/>
    <d v="2023-11-08T00:00:00"/>
    <d v="2023-12-10T00:00:00"/>
    <d v="2024-01-10T00:00:00"/>
    <d v="2024-01-11T00:00:00"/>
    <s v="Charged by Codes Java Dalia Wide Stringer The Experienced dude Static StartupCharged by Codes Java Dalia Wide Stringer The Experienced dude Static StartupBox of Crayons Indie Profilers Software Chasers The Blue Bird The Experienced dude Search Engine Bandits"/>
  </r>
  <r>
    <x v="2"/>
    <x v="1"/>
    <n v="1097251"/>
    <x v="43"/>
    <x v="0"/>
    <n v="1474038"/>
    <x v="38"/>
    <x v="5"/>
    <x v="0"/>
    <s v="Resource Assignment"/>
    <x v="1"/>
    <s v="Kate Mills"/>
    <s v="Whittney Huttson"/>
    <s v="Ashley Queenie"/>
    <s v="QA Tester 5"/>
    <n v="40"/>
    <n v="286.39016501770726"/>
    <x v="43"/>
    <d v="2023-06-05T00:00:00"/>
    <d v="2023-10-07T00:00:00"/>
    <d v="2023-11-07T00:00:00"/>
    <d v="2023-12-09T00:00:00"/>
    <d v="2024-01-09T00:00:00"/>
    <d v="2024-01-10T00:00:00"/>
    <s v="The Success The GFI with Codes Remembering Our Ancestors Project Explained Code Change GroupThe Success The GFI with Codes Remembering Our Ancestors Project Explained Code Change GroupThe Social Experiment Coding League The Success The Network Linkage, Inc."/>
  </r>
  <r>
    <x v="1"/>
    <x v="8"/>
    <n v="1157668"/>
    <x v="44"/>
    <x v="1"/>
    <n v="387692"/>
    <x v="39"/>
    <x v="6"/>
    <x v="2"/>
    <s v="Completed"/>
    <x v="1"/>
    <s v="Rovan Hossam"/>
    <s v="Daniel Francis"/>
    <s v="Project Management"/>
    <s v="QA Tester 3"/>
    <n v="229"/>
    <n v="2170.4728944291455"/>
    <x v="44"/>
    <d v="2023-06-04T00:00:00"/>
    <d v="2023-10-06T00:00:00"/>
    <d v="2023-11-06T00:00:00"/>
    <d v="2023-12-08T00:00:00"/>
    <d v="2024-01-08T00:00:00"/>
    <d v="2024-01-09T00:00:00"/>
    <s v="The Network Linkage, Inc. Project Explained Town Hall Meeting Switch and SwiftThe Network Linkage, Inc. Project Explained Town Hall Meeting Switch and SwiftCoding Region The Principal of Change The Network Mentee to Mentor Mo-Money Masterclass"/>
  </r>
  <r>
    <x v="2"/>
    <x v="11"/>
    <n v="1098028"/>
    <x v="45"/>
    <x v="0"/>
    <n v="622042"/>
    <x v="40"/>
    <x v="4"/>
    <x v="0"/>
    <s v="Research"/>
    <x v="0"/>
    <s v="Dany Jr."/>
    <s v="Whittney Huttson"/>
    <s v="Jonny Levitiz"/>
    <s v="QA Tester 3"/>
    <n v="55"/>
    <n v="1712.3282723632387"/>
    <x v="45"/>
    <d v="2023-06-03T00:00:00"/>
    <d v="2023-10-05T00:00:00"/>
    <d v="2023-11-05T00:00:00"/>
    <d v="2023-12-07T00:00:00"/>
    <d v="2024-01-07T00:00:00"/>
    <d v="2024-01-08T00:00:00"/>
    <s v="Made by Me Center for Creative Coding Fast &amp; Creative Gang The Discovery of Era Enter CodingMade by Me Center for Creative Coding Fast &amp; Creative Gang The Discovery of Era Enter CodingRemembering Our Ancestors Fast Coding The Art of Codes Meetup for the Good The Coding Expert"/>
  </r>
  <r>
    <x v="1"/>
    <x v="11"/>
    <n v="1114381"/>
    <x v="46"/>
    <x v="0"/>
    <n v="68259"/>
    <x v="41"/>
    <x v="6"/>
    <x v="0"/>
    <s v="Resource Assignment"/>
    <x v="2"/>
    <s v="Abd Elfattah Elsisi"/>
    <s v="Scot Bridgeton"/>
    <s v="Eddy Vertil"/>
    <s v="QA Tester 3"/>
    <n v="252"/>
    <n v="95.718002523139248"/>
    <x v="46"/>
    <d v="2023-06-02T00:00:00"/>
    <d v="2023-10-04T00:00:00"/>
    <d v="2023-11-04T00:00:00"/>
    <d v="2023-12-06T00:00:00"/>
    <d v="2024-01-06T00:00:00"/>
    <d v="2024-01-07T00:00:00"/>
    <s v="A Salute to New Workers Robust Routine Active Achievement Match of Health Debug EntityA Salute to New Workers Robust Routine Active Achievement Match of Health Debug EntityAnnual Award Show White Feather A Salute to New Workers 7th Annual Workshop Wide Stringer"/>
  </r>
  <r>
    <x v="1"/>
    <x v="4"/>
    <n v="1067883"/>
    <x v="47"/>
    <x v="1"/>
    <n v="1597700"/>
    <x v="42"/>
    <x v="3"/>
    <x v="0"/>
    <s v="Completed"/>
    <x v="1"/>
    <s v="Dany Jr."/>
    <s v="Mei Lee"/>
    <s v="Eddy Vertil"/>
    <s v="QA Tester 3"/>
    <n v="39"/>
    <n v="1663.5296761338868"/>
    <x v="47"/>
    <d v="2023-06-01T00:00:00"/>
    <d v="2023-10-03T00:00:00"/>
    <d v="2023-11-03T00:00:00"/>
    <d v="2023-12-05T00:00:00"/>
    <d v="2024-01-05T00:00:00"/>
    <d v="2024-01-06T00:00:00"/>
    <s v="A Salute to New Workers Robust Routine Active Achievement Match of Health Debug EntityA Salute to New Workers Robust Routine Active Achievement Match of Health Debug EntityRobust Routine  Coding Region Debug Entity "/>
  </r>
  <r>
    <x v="0"/>
    <x v="10"/>
    <n v="1077403"/>
    <x v="48"/>
    <x v="0"/>
    <n v="4354263"/>
    <x v="43"/>
    <x v="2"/>
    <x v="0"/>
    <s v="Testing - IT"/>
    <x v="3"/>
    <s v="Sam Jack"/>
    <s v="Mei Lee"/>
    <s v="Eddy Vertil"/>
    <s v="QA Tester 7"/>
    <n v="148"/>
    <n v="1502.9551844440721"/>
    <x v="48"/>
    <d v="2023-05-31T00:00:00"/>
    <d v="2023-10-02T00:00:00"/>
    <d v="2023-11-02T00:00:00"/>
    <d v="2023-12-04T00:00:00"/>
    <d v="2024-01-04T00:00:00"/>
    <d v="2024-01-05T00:00:00"/>
    <s v="Social Geek Made Box of Crayons The Successful Project Made by Me Center for Creative CodingSocial Geek Made Box of Crayons The Successful Project Made by Me Center for Creative CodingThe Discovery of Era Enter Coding The Coding Master Remembering Our Ancestors Fast Coding"/>
  </r>
  <r>
    <x v="1"/>
    <x v="7"/>
    <n v="1253615"/>
    <x v="49"/>
    <x v="0"/>
    <n v="1058186"/>
    <x v="44"/>
    <x v="3"/>
    <x v="0"/>
    <s v="Requirements"/>
    <x v="1"/>
    <s v="Kate Mills"/>
    <s v="Daniel Francis"/>
    <s v="Ellis Florzak"/>
    <s v="QA Tester 3"/>
    <n v="126"/>
    <n v="425.90061798511027"/>
    <x v="49"/>
    <d v="2023-05-30T00:00:00"/>
    <d v="2023-10-01T00:00:00"/>
    <d v="2023-11-01T00:00:00"/>
    <d v="2023-12-03T00:00:00"/>
    <d v="2024-01-03T00:00:00"/>
    <d v="2024-01-04T00:00:00"/>
    <s v="Moving Bird Charged by Codes 7th Annual Workshop The Blue Bird The Experienced dudeMoving Bird Charged by Codes 7th Annual Workshop The Blue Bird The Experienced dudeSocial Geek Made Box of Crayons The Successful Project Made by Me Center for Creative Coding"/>
  </r>
  <r>
    <x v="2"/>
    <x v="8"/>
    <n v="1101806"/>
    <x v="50"/>
    <x v="1"/>
    <n v="1469801"/>
    <x v="45"/>
    <x v="5"/>
    <x v="0"/>
    <s v="Cancelled"/>
    <x v="0"/>
    <s v="Sam Jack"/>
    <s v="Mei Lee"/>
    <s v="Eddy Vertil"/>
    <s v="QA Tester 2"/>
    <n v="18"/>
    <n v="94.955097192967102"/>
    <x v="50"/>
    <d v="2023-05-29T00:00:00"/>
    <d v="2023-09-30T00:00:00"/>
    <d v="2023-10-31T00:00:00"/>
    <d v="2023-12-02T00:00:00"/>
    <d v="2024-01-02T00:00:00"/>
    <d v="2024-01-03T00:00:00"/>
    <s v="Active Achievement Impact Training Coding Region Excel and Elevate Training Excalibur TrainingActive Achievement Impact Training Coding Region Excel and Elevate Training Excalibur TrainingBox of Crayons Indie Profilers Software Chasers Center for Creative Coding Search Engine Bandits"/>
  </r>
  <r>
    <x v="2"/>
    <x v="3"/>
    <n v="1101761"/>
    <x v="51"/>
    <x v="0"/>
    <n v="2134273"/>
    <x v="46"/>
    <x v="5"/>
    <x v="0"/>
    <s v="Completed"/>
    <x v="2"/>
    <s v="Mo Salah"/>
    <s v="Scot Bridgeton"/>
    <s v="Barbie Clainton"/>
    <s v="QA Tester 3"/>
    <n v="33"/>
    <n v="3.2776119137781725"/>
    <x v="51"/>
    <d v="2023-05-28T00:00:00"/>
    <d v="2023-09-29T00:00:00"/>
    <d v="2023-10-30T00:00:00"/>
    <d v="2023-12-01T00:00:00"/>
    <d v="2024-01-01T00:00:00"/>
    <d v="2024-01-02T00:00:00"/>
    <s v="A Salute to New Workers Robust Routine Linkage, Inc. Match of Health Debug EntityA Salute to New Workers Robust Routine Linkage, Inc. Match of Health Debug EntityAnnual Award Show White Feather The Principal of Change 7th Annual Workshop Wide Stringer"/>
  </r>
  <r>
    <x v="1"/>
    <x v="6"/>
    <n v="1020663"/>
    <x v="52"/>
    <x v="1"/>
    <n v="938369"/>
    <x v="47"/>
    <x v="3"/>
    <x v="2"/>
    <s v="Completed"/>
    <x v="0"/>
    <s v="KMK"/>
    <s v="Daniel Francis"/>
    <s v="Eddy Vertil"/>
    <s v="QA Tester 3"/>
    <n v="56"/>
    <n v="1953.6276012186488"/>
    <x v="52"/>
    <d v="2023-05-27T00:00:00"/>
    <d v="2023-09-28T00:00:00"/>
    <d v="2023-10-29T00:00:00"/>
    <d v="2023-11-30T00:00:00"/>
    <d v="2023-12-31T00:00:00"/>
    <d v="2024-01-01T00:00:00"/>
    <s v="Active Achievement Impact Training Coding Region Excel and Elevate Training Excalibur TrainingActive Achievement Impact Training Coding Region Excel and Elevate Training Excalibur TrainingA Salute to New Workers Robust Routine Active Achievement Match of Health Debug Entity"/>
  </r>
  <r>
    <x v="1"/>
    <x v="4"/>
    <n v="1189197"/>
    <x v="53"/>
    <x v="0"/>
    <n v="1489303"/>
    <x v="48"/>
    <x v="3"/>
    <x v="2"/>
    <s v="Resource Assignment"/>
    <x v="0"/>
    <s v="Esra Mejid"/>
    <s v="Scot Bridgeton"/>
    <s v="Eddy Vertil"/>
    <s v="QA Tester 3"/>
    <n v="79"/>
    <n v="1688.2833804031839"/>
    <x v="53"/>
    <d v="2023-05-26T00:00:00"/>
    <d v="2023-09-27T00:00:00"/>
    <d v="2023-10-28T00:00:00"/>
    <d v="2023-11-29T00:00:00"/>
    <d v="2023-12-30T00:00:00"/>
    <d v="2023-12-31T00:00:00"/>
    <s v="Excel and Elevate Training Excalibur Training Mentee to Mentor A Salute to New Workers Robust RoutineExcel and Elevate Training Excalibur Training Mentee to Mentor A Salute to New Workers Robust RoutineMatch of Health Debug Entity Excel and Elevate Training Annual Award Show White Feather"/>
  </r>
  <r>
    <x v="1"/>
    <x v="10"/>
    <n v="1260505"/>
    <x v="54"/>
    <x v="0"/>
    <n v="1892566"/>
    <x v="49"/>
    <x v="2"/>
    <x v="0"/>
    <s v="Completed"/>
    <x v="1"/>
    <s v="Kate Mills"/>
    <s v="Scot Bridgeton"/>
    <s v="Eddy Vertil"/>
    <s v="QA Tester 3"/>
    <n v="112"/>
    <n v="2189.2689692372755"/>
    <x v="54"/>
    <d v="2023-05-25T00:00:00"/>
    <d v="2023-09-26T00:00:00"/>
    <d v="2023-10-27T00:00:00"/>
    <d v="2023-11-28T00:00:00"/>
    <d v="2023-12-29T00:00:00"/>
    <d v="2023-12-30T00:00:00"/>
    <s v="The Discovery of Era Enter Coding Social Geek Made Remembering Our Ancestors Fast CodingThe Discovery of Era Enter Coding Social Geek Made Remembering Our Ancestors Fast CodingMeetup for the Good The Coding Expert The Discovery of Era The Success The GFI with Codes"/>
  </r>
  <r>
    <x v="2"/>
    <x v="9"/>
    <n v="1097151"/>
    <x v="55"/>
    <x v="0"/>
    <n v="1977991"/>
    <x v="50"/>
    <x v="2"/>
    <x v="0"/>
    <s v="Completed"/>
    <x v="0"/>
    <s v="Kate Mills"/>
    <s v="Mei Lee"/>
    <s v="Eddy Vertil"/>
    <s v="QA Tester 2"/>
    <n v="94"/>
    <n v="2096.6973255978601"/>
    <x v="55"/>
    <d v="2023-05-24T00:00:00"/>
    <d v="2023-09-25T00:00:00"/>
    <d v="2023-10-26T00:00:00"/>
    <d v="2023-11-27T00:00:00"/>
    <d v="2023-12-28T00:00:00"/>
    <d v="2023-12-29T00:00:00"/>
    <s v="7th Annual Workshop Wide Stringer Match of Health The Domain of Work Wombat7th Annual Workshop Wide Stringer Match of Health The Domain of Work WombatThe Social Experiment Coding League Center for Creative Coding The Network Linkage, Inc."/>
  </r>
  <r>
    <x v="0"/>
    <x v="5"/>
    <n v="1154635"/>
    <x v="56"/>
    <x v="0"/>
    <n v="518169"/>
    <x v="51"/>
    <x v="0"/>
    <x v="0"/>
    <s v="Resource Assignment"/>
    <x v="3"/>
    <s v="Ahmed Daz"/>
    <s v="Daniel Francis"/>
    <s v="Bobby Guillman"/>
    <s v="QA Tester 2"/>
    <n v="311"/>
    <n v="146.02333410480014"/>
    <x v="56"/>
    <d v="2023-05-23T00:00:00"/>
    <d v="2023-09-24T00:00:00"/>
    <d v="2023-10-25T00:00:00"/>
    <d v="2023-11-26T00:00:00"/>
    <d v="2023-12-27T00:00:00"/>
    <d v="2023-12-28T00:00:00"/>
    <s v="Mentee to Mentor Mo-Money Masterclass Town Hall Meeting Active Achievement Impact TrainingMentee to Mentor Mo-Money Masterclass Town Hall Meeting Active Achievement Impact TrainingJava Dalia  The Successful Project Static Startup "/>
  </r>
  <r>
    <x v="2"/>
    <x v="3"/>
    <n v="1191179"/>
    <x v="57"/>
    <x v="0"/>
    <n v="1887613"/>
    <x v="42"/>
    <x v="0"/>
    <x v="0"/>
    <s v="Testing - Client"/>
    <x v="0"/>
    <s v="Ahmed Daz"/>
    <s v="Daniel Francis"/>
    <s v="Jean Coombs"/>
    <s v="QA Tester 2"/>
    <n v="304"/>
    <n v="157.87221332310065"/>
    <x v="57"/>
    <d v="2023-05-22T00:00:00"/>
    <d v="2023-09-23T00:00:00"/>
    <d v="2023-10-24T00:00:00"/>
    <d v="2023-11-25T00:00:00"/>
    <d v="2023-12-26T00:00:00"/>
    <d v="2023-12-27T00:00:00"/>
    <s v="The Network Linkage, Inc. Enter Coding Town Hall Meeting Switch and SwiftThe Network Linkage, Inc. Enter Coding Town Hall Meeting Switch and SwiftCoding Region The Principal of Change The Coding Expert Mentee to Mentor Mo-Money Masterclass"/>
  </r>
  <r>
    <x v="2"/>
    <x v="9"/>
    <n v="1113587"/>
    <x v="58"/>
    <x v="1"/>
    <n v="377108"/>
    <x v="8"/>
    <x v="0"/>
    <x v="0"/>
    <s v="Completed"/>
    <x v="1"/>
    <s v="Eto Smith"/>
    <s v=" Gerland Singh"/>
    <s v="Bobby Guillman"/>
    <s v="QA Tester 2"/>
    <n v="289"/>
    <n v="2105.5445473019736"/>
    <x v="58"/>
    <d v="2023-05-21T00:00:00"/>
    <d v="2023-09-22T00:00:00"/>
    <d v="2023-10-23T00:00:00"/>
    <d v="2023-11-24T00:00:00"/>
    <d v="2023-12-25T00:00:00"/>
    <d v="2023-12-26T00:00:00"/>
    <s v="A Salute to New Workers Robust Routine Active Achievement Match of Health Debug EntityA Salute to New Workers Robust Routine Active Achievement Match of Health Debug EntityThe Coding Master Celestial Interface Debug Entity The Art of Codes Open Source Pundits"/>
  </r>
  <r>
    <x v="2"/>
    <x v="6"/>
    <n v="1021647"/>
    <x v="59"/>
    <x v="0"/>
    <n v="135306"/>
    <x v="52"/>
    <x v="0"/>
    <x v="0"/>
    <s v="Approved for Deployment"/>
    <x v="2"/>
    <s v="Esra Mejid"/>
    <s v="NA"/>
    <s v="Bruce Gordon"/>
    <s v="QA Tester 3"/>
    <n v="263"/>
    <n v="218.32963072904121"/>
    <x v="59"/>
    <d v="2023-05-20T00:00:00"/>
    <d v="2023-09-21T00:00:00"/>
    <d v="2023-10-22T00:00:00"/>
    <d v="2023-11-23T00:00:00"/>
    <d v="2023-12-24T00:00:00"/>
    <d v="2023-12-25T00:00:00"/>
    <s v="Town Hall Meeting Switch and Swift The Social Experiment Coding Region The Principal of ChangeTown Hall Meeting Switch and Swift The Social Experiment Coding Region The Principal of ChangeCharged by Codes Java Dalia The Coding Master The Experienced dude Static Startup"/>
  </r>
  <r>
    <x v="2"/>
    <x v="11"/>
    <n v="1097192"/>
    <x v="60"/>
    <x v="0"/>
    <n v="77964"/>
    <x v="53"/>
    <x v="0"/>
    <x v="0"/>
    <s v="Completed"/>
    <x v="0"/>
    <s v="Ahmed Daz"/>
    <s v="Daniel Francis"/>
    <s v="Jean Coombs"/>
    <s v="QA Tester 2"/>
    <n v="293"/>
    <n v="1071.2748031524079"/>
    <x v="60"/>
    <d v="2023-05-19T00:00:00"/>
    <d v="2023-09-20T00:00:00"/>
    <d v="2023-10-21T00:00:00"/>
    <d v="2023-11-22T00:00:00"/>
    <d v="2023-12-23T00:00:00"/>
    <d v="2023-12-24T00:00:00"/>
    <s v="Project Explained Code Change Group Box of Crayons The Social Experiment Coding LeagueProject Explained Code Change Group Box of Crayons The Social Experiment Coding LeagueThe Network Linkage, Inc. Enter Coding Town Hall Meeting Switch and Swift"/>
  </r>
  <r>
    <x v="1"/>
    <x v="3"/>
    <n v="1159463"/>
    <x v="61"/>
    <x v="1"/>
    <n v="986779"/>
    <x v="54"/>
    <x v="0"/>
    <x v="0"/>
    <s v="Completed"/>
    <x v="1"/>
    <s v="Dany Jr."/>
    <s v=" Gerland Singh"/>
    <s v="Matthew Krillen"/>
    <s v="QA Tester 2"/>
    <n v="276"/>
    <n v="2075.3825062763963"/>
    <x v="61"/>
    <d v="2023-05-18T00:00:00"/>
    <d v="2023-09-19T00:00:00"/>
    <d v="2023-10-20T00:00:00"/>
    <d v="2023-11-21T00:00:00"/>
    <d v="2023-12-22T00:00:00"/>
    <d v="2023-12-23T00:00:00"/>
    <s v="Remembering Our Ancestors Fast Coding The Art of Codes Meetup for the Good The Coding ExpertRemembering Our Ancestors Fast Coding The Art of Codes Meetup for the Good The Coding ExpertThe Success The GFI with Codes The Experienced dude Project Explained Code Change Group"/>
  </r>
  <r>
    <x v="1"/>
    <x v="1"/>
    <n v="1221262"/>
    <x v="62"/>
    <x v="0"/>
    <n v="91477"/>
    <x v="55"/>
    <x v="0"/>
    <x v="0"/>
    <s v="Completed"/>
    <x v="1"/>
    <s v="Eto Smith"/>
    <s v=" Gerland Singh"/>
    <s v="Bobby Guillman"/>
    <s v="QA Tester 1"/>
    <n v="268"/>
    <n v="857.25803481734124"/>
    <x v="62"/>
    <d v="2023-05-17T00:00:00"/>
    <d v="2023-09-18T00:00:00"/>
    <d v="2023-10-19T00:00:00"/>
    <d v="2023-11-20T00:00:00"/>
    <d v="2023-12-21T00:00:00"/>
    <d v="2023-12-22T00:00:00"/>
    <s v="Coding Region The Principal of Change The Network Mentee to Mentor Mo-Money MasterclassCoding Region The Principal of Change The Network Mentee to Mentor Mo-Money MasterclassThe Experienced dude Static Startup The Art of Codes"/>
  </r>
  <r>
    <x v="2"/>
    <x v="10"/>
    <n v="1176726"/>
    <x v="63"/>
    <x v="0"/>
    <n v="363846"/>
    <x v="5"/>
    <x v="4"/>
    <x v="0"/>
    <s v="Completed"/>
    <x v="1"/>
    <s v="Eto Smith"/>
    <s v="Mei Lee"/>
    <s v="Bobby Guillman"/>
    <s v="QA Tester 2"/>
    <n v="323"/>
    <n v="1508.6420700885778"/>
    <x v="63"/>
    <d v="2023-05-16T00:00:00"/>
    <d v="2023-09-17T00:00:00"/>
    <d v="2023-10-18T00:00:00"/>
    <d v="2023-11-19T00:00:00"/>
    <d v="2023-12-20T00:00:00"/>
    <d v="2023-12-21T00:00:00"/>
    <s v="A Salute to New Workers Robust Routine Active Achievement Match of Health Debug EntityA Salute to New Workers Robust Routine Active Achievement Match of Health Debug EntityStatic Startup  Fast &amp; Creative Gang Indie Profilers "/>
  </r>
  <r>
    <x v="0"/>
    <x v="6"/>
    <n v="1057420"/>
    <x v="64"/>
    <x v="0"/>
    <n v="1717082"/>
    <x v="56"/>
    <x v="4"/>
    <x v="0"/>
    <s v="New"/>
    <x v="1"/>
    <s v="Ahmed Daz"/>
    <s v=" Gerland Singh"/>
    <s v="Matthew Krillen"/>
    <s v="QA Tester 2"/>
    <n v="279"/>
    <n v="1569.1421407795322"/>
    <x v="64"/>
    <d v="2023-05-15T00:00:00"/>
    <d v="2023-09-16T00:00:00"/>
    <d v="2023-10-17T00:00:00"/>
    <d v="2023-11-18T00:00:00"/>
    <d v="2023-12-19T00:00:00"/>
    <d v="2023-12-20T00:00:00"/>
    <s v="Coding Region The Principal of Change The Coding Expert Mentee to Mentor Mo-Money MasterclassCoding Region The Principal of Change The Coding Expert Mentee to Mentor Mo-Money MasterclassActive Achievement Impact Training Code Change Group Excel and Elevate Training Excalibur Training"/>
  </r>
  <r>
    <x v="1"/>
    <x v="11"/>
    <n v="1080455"/>
    <x v="65"/>
    <x v="1"/>
    <n v="2047041"/>
    <x v="57"/>
    <x v="0"/>
    <x v="0"/>
    <s v="Completed"/>
    <x v="0"/>
    <s v="Esra Mejid"/>
    <s v="Daniel Francis"/>
    <s v="Jean Coombs"/>
    <s v="QA Tester 2"/>
    <n v="300"/>
    <n v="632.61201023256422"/>
    <x v="65"/>
    <d v="2023-05-14T00:00:00"/>
    <d v="2023-09-15T00:00:00"/>
    <d v="2023-10-16T00:00:00"/>
    <d v="2023-11-17T00:00:00"/>
    <d v="2023-12-18T00:00:00"/>
    <d v="2023-12-19T00:00:00"/>
    <s v="Meetup for the Good The Coding Expert Charged by Codes The Success The GFI with CodesMeetup for the Good The Coding Expert Charged by Codes The Success The GFI with CodesProject Explained Code Change Group Box of Crayons The Social Experiment Coding League"/>
  </r>
  <r>
    <x v="0"/>
    <x v="7"/>
    <n v="1075642"/>
    <x v="66"/>
    <x v="0"/>
    <n v="2062489"/>
    <x v="58"/>
    <x v="2"/>
    <x v="0"/>
    <s v="Development - Security"/>
    <x v="2"/>
    <s v="Kate Mills"/>
    <s v="Whittney Huttson"/>
    <s v="Eddy Vertil"/>
    <s v="QA Tester 7"/>
    <n v="114"/>
    <n v="551.16577432307997"/>
    <x v="66"/>
    <d v="2023-05-13T00:00:00"/>
    <d v="2023-09-14T00:00:00"/>
    <d v="2023-10-15T00:00:00"/>
    <d v="2023-11-16T00:00:00"/>
    <d v="2023-12-17T00:00:00"/>
    <d v="2023-12-18T00:00:00"/>
    <s v="The Discovery of Era Enter Coding The Coding Master Remembering Our Ancestors Fast CodingThe Discovery of Era Enter Coding The Coding Master Remembering Our Ancestors Fast CodingMeetup for the Good The Coding Expert Charged by Codes The Success The GFI with Codes"/>
  </r>
  <r>
    <x v="1"/>
    <x v="8"/>
    <n v="1179160"/>
    <x v="67"/>
    <x v="0"/>
    <n v="2195918"/>
    <x v="18"/>
    <x v="0"/>
    <x v="0"/>
    <s v="Resource Assignment"/>
    <x v="3"/>
    <s v="Kate Mills"/>
    <s v="Daniel Francis"/>
    <s v="Bobby Guillman"/>
    <s v="QA Tester 2"/>
    <n v="314"/>
    <n v="186.74714602037201"/>
    <x v="67"/>
    <d v="2023-05-12T00:00:00"/>
    <d v="2023-09-13T00:00:00"/>
    <d v="2023-10-14T00:00:00"/>
    <d v="2023-11-15T00:00:00"/>
    <d v="2023-12-16T00:00:00"/>
    <d v="2023-12-17T00:00:00"/>
    <s v="The Successful Project Software Chasers Excalibur Training Fast &amp; Creative Gang Gob GeeklordsThe Successful Project Software Chasers Excalibur Training Fast &amp; Creative Gang Gob GeeklordsThe Coding Master Celestial Interface Debug Entity The Art of Codes Open Source Pundits"/>
  </r>
  <r>
    <x v="1"/>
    <x v="0"/>
    <n v="1097250"/>
    <x v="68"/>
    <x v="0"/>
    <n v="618794"/>
    <x v="59"/>
    <x v="2"/>
    <x v="0"/>
    <s v="Completed"/>
    <x v="1"/>
    <s v="Dany Jr."/>
    <s v=" Gerland Singh"/>
    <s v="Eddy Vertil"/>
    <s v="QA Tester 2"/>
    <n v="93"/>
    <n v="1785.9045298484361"/>
    <x v="68"/>
    <d v="2023-05-11T00:00:00"/>
    <d v="2023-09-12T00:00:00"/>
    <d v="2023-10-13T00:00:00"/>
    <d v="2023-11-14T00:00:00"/>
    <d v="2023-12-15T00:00:00"/>
    <d v="2023-12-16T00:00:00"/>
    <s v="The Successful Project Software Chasers 7th Annual Workshop Fast &amp; Creative Gang Gob GeeklordsThe Successful Project Software Chasers 7th Annual Workshop Fast &amp; Creative Gang Gob GeeklordsThe Experienced dude Static Startup Wombat Box of Crayons Indie Profilers"/>
  </r>
  <r>
    <x v="2"/>
    <x v="1"/>
    <n v="1097202"/>
    <x v="69"/>
    <x v="0"/>
    <n v="1276392"/>
    <x v="60"/>
    <x v="3"/>
    <x v="0"/>
    <s v="Completed"/>
    <x v="0"/>
    <s v="Sam Jack"/>
    <s v="Whittney Huttson"/>
    <s v="Keri Waves"/>
    <s v="QA Tester 3"/>
    <n v="63"/>
    <n v="323.50255046330136"/>
    <x v="69"/>
    <d v="2023-05-10T00:00:00"/>
    <d v="2023-09-11T00:00:00"/>
    <d v="2023-10-12T00:00:00"/>
    <d v="2023-11-13T00:00:00"/>
    <d v="2023-12-14T00:00:00"/>
    <d v="2023-12-15T00:00:00"/>
    <s v="Made by Me Center for Creative Coding The Blue Bird The Discovery of Era Enter CodingMade by Me Center for Creative Coding The Blue Bird The Discovery of Era Enter CodingRemembering Our Ancestors Fast Coding Made by Me Meetup for the Good The Coding Expert"/>
  </r>
  <r>
    <x v="1"/>
    <x v="1"/>
    <n v="1097198"/>
    <x v="70"/>
    <x v="1"/>
    <n v="923614"/>
    <x v="53"/>
    <x v="1"/>
    <x v="0"/>
    <s v="Completed"/>
    <x v="2"/>
    <s v="Ahmed Daz"/>
    <s v="Scot Bridgeton"/>
    <s v="Mary Frittle"/>
    <s v="QA Tester 3"/>
    <n v="204"/>
    <n v="89.248419246657249"/>
    <x v="70"/>
    <d v="2023-05-09T00:00:00"/>
    <d v="2023-09-10T00:00:00"/>
    <d v="2023-10-11T00:00:00"/>
    <d v="2023-11-12T00:00:00"/>
    <d v="2023-12-13T00:00:00"/>
    <d v="2023-12-14T00:00:00"/>
    <s v="The Domain of Work Wombat Annual Award Show The Successful Project Software ChasersThe Domain of Work Wombat Annual Award Show The Successful Project Software ChasersImpact Training  The Network Excalibur Training "/>
  </r>
  <r>
    <x v="0"/>
    <x v="4"/>
    <n v="1056053"/>
    <x v="71"/>
    <x v="0"/>
    <n v="1029185"/>
    <x v="61"/>
    <x v="5"/>
    <x v="0"/>
    <s v="Requirements"/>
    <x v="2"/>
    <s v="Dany Jr."/>
    <s v="Scot Bridgeton"/>
    <s v="Eddy Vertil"/>
    <s v="QA Tester 3"/>
    <n v="39"/>
    <n v="226.8645669565789"/>
    <x v="71"/>
    <d v="2023-07-08T00:00:00"/>
    <d v="2023-09-09T00:00:00"/>
    <d v="2023-10-10T00:00:00"/>
    <d v="2023-11-11T00:00:00"/>
    <d v="2023-12-12T00:00:00"/>
    <d v="2023-12-13T00:00:00"/>
    <s v="Project Explained Code Change Group Meetup for the Good The Social Experiment Coding LeagueProject Explained Code Change Group Meetup for the Good The Social Experiment Coding LeagueThe Network Linkage, Inc. Project Explained Town Hall Meeting Switch and Swif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A77A3-738E-4577-AE04-061042846D5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7" firstHeaderRow="1" firstDataRow="1" firstDataCol="1"/>
  <pivotFields count="3">
    <pivotField dataField="1" subtotalTop="0" showAll="0" defaultSubtotal="0"/>
    <pivotField axis="axisRow" allDrilled="1"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axis="axisRow" allDrilled="1" subtotalTop="0" showAll="0" dataSourceSort="1" defaultSubtotal="0">
      <items count="3">
        <item x="0" e="0"/>
        <item x="1" e="0"/>
        <item x="2" e="0"/>
      </items>
    </pivotField>
  </pivotFields>
  <rowFields count="2">
    <field x="2"/>
    <field x="1"/>
  </rowFields>
  <rowItems count="4">
    <i>
      <x/>
    </i>
    <i>
      <x v="1"/>
    </i>
    <i>
      <x v="2"/>
    </i>
    <i t="grand">
      <x/>
    </i>
  </rowItems>
  <colItems count="1">
    <i/>
  </colItems>
  <dataFields count="1">
    <dataField name="Count of count of project" fld="0" subtotal="count" baseField="0" baseItem="0"/>
  </dataFields>
  <chartFormats count="2">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data">
        <x15:activeTabTopLevelEntity name="[proje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354D7-3C59-4C96-9343-69279CC2BDC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N44" firstHeaderRow="1" firstDataRow="1" firstDataCol="0"/>
  <pivotFields count="27">
    <pivotField showAll="0">
      <items count="4">
        <item x="0"/>
        <item h="1" x="2"/>
        <item h="1" x="1"/>
        <item t="default"/>
      </items>
    </pivotField>
    <pivotField showAll="0">
      <items count="13">
        <item h="1" x="6"/>
        <item h="1" x="0"/>
        <item h="1" x="4"/>
        <item x="11"/>
        <item h="1" x="8"/>
        <item h="1" x="5"/>
        <item h="1" x="1"/>
        <item h="1" x="2"/>
        <item h="1" x="7"/>
        <item h="1" x="10"/>
        <item h="1" x="9"/>
        <item h="1" x="3"/>
        <item t="default"/>
      </items>
    </pivotField>
    <pivotField showAll="0"/>
    <pivotField showAll="0"/>
    <pivotField showAll="0">
      <items count="3">
        <item x="0"/>
        <item h="1" x="1"/>
        <item t="default"/>
      </items>
    </pivotField>
    <pivotField numFmtId="3" showAll="0"/>
    <pivotField showAll="0"/>
    <pivotField showAll="0">
      <items count="8">
        <item h="1" x="5"/>
        <item h="1" x="3"/>
        <item h="1" x="4"/>
        <item h="1" x="2"/>
        <item h="1" x="1"/>
        <item x="6"/>
        <item h="1" x="0"/>
        <item t="default"/>
      </items>
    </pivotField>
    <pivotField showAll="0">
      <items count="4">
        <item x="2"/>
        <item x="1"/>
        <item x="0"/>
        <item t="default"/>
      </items>
    </pivotField>
    <pivotField showAll="0"/>
    <pivotField showAll="0">
      <items count="5">
        <item h="1" x="1"/>
        <item h="1" x="3"/>
        <item x="2"/>
        <item h="1" x="0"/>
        <item t="default"/>
      </items>
    </pivotField>
    <pivotField showAll="0"/>
    <pivotField showAll="0"/>
    <pivotField showAll="0"/>
    <pivotField showAll="0"/>
    <pivotField numFmtId="1" showAll="0"/>
    <pivotField numFmtId="1" showAll="0"/>
    <pivotField numFmtId="14"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numFmtId="14" showAll="0"/>
    <pivotField numFmtId="14" showAll="0"/>
    <pivotField numFmtId="14" showAll="0"/>
    <pivotField numFmtId="14"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C797A-ABB7-42D5-846D-C1BD79808319}"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8" firstHeaderRow="1" firstDataRow="3" firstDataCol="1"/>
  <pivotFields count="4">
    <pivotField axis="axisRow" allDrilled="1" showAll="0" dataSourceSort="1" defaultAttributeDrillState="1">
      <items count="13">
        <item x="0"/>
        <item x="1"/>
        <item x="2"/>
        <item x="3"/>
        <item x="4"/>
        <item x="5"/>
        <item x="6"/>
        <item x="7"/>
        <item x="8"/>
        <item x="9"/>
        <item x="10"/>
        <item x="11"/>
        <item t="default"/>
      </items>
    </pivotField>
    <pivotField axis="axisCol" allDrilled="1" subtotalTop="0" showAll="0" dataSourceSort="1"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axis="axisCol" allDrilled="1" subtotalTop="0" showAll="0" dataSourceSort="1" defaultSubtotal="0">
      <items count="3">
        <item x="0" e="0"/>
        <item x="1" e="0"/>
        <item x="2" e="0"/>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2">
    <field x="2"/>
    <field x="1"/>
  </colFields>
  <colItems count="4">
    <i>
      <x/>
    </i>
    <i>
      <x v="1"/>
    </i>
    <i>
      <x v="2"/>
    </i>
    <i t="grand">
      <x/>
    </i>
  </colItems>
  <dataFields count="1">
    <dataField name="time line" fld="3"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me line"/>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6"/>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data">
        <x15:activeTabTopLevelEntity name="[proje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66E15-B953-4C2E-AA42-4286C656CF7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X6:Y9" firstHeaderRow="1" firstDataRow="1" firstDataCol="1"/>
  <pivotFields count="27">
    <pivotField showAll="0">
      <items count="4">
        <item x="0"/>
        <item h="1" x="2"/>
        <item h="1" x="1"/>
        <item t="default"/>
      </items>
    </pivotField>
    <pivotField showAll="0"/>
    <pivotField showAll="0"/>
    <pivotField showAll="0"/>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showAll="0"/>
    <pivotField showAll="0"/>
    <pivotField showAll="0"/>
    <pivotField showAll="0"/>
    <pivotField showAll="0"/>
    <pivotField showAll="0"/>
    <pivotField showAll="0"/>
    <pivotField numFmtId="1" showAll="0"/>
    <pivotField numFmtId="1" showAll="0"/>
    <pivotField numFmtId="14"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numFmtId="14" showAll="0"/>
    <pivotField numFmtId="14" showAll="0"/>
    <pivotField numFmtId="1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Status" fld="4" subtotal="count"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7790D8-6074-4D43-AA9D-BED9CD2CEA0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ject by manager">
  <location ref="A3:B8"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name=" count of project (Month)" fld="1" subtotal="count" baseField="0" baseItem="0"/>
  </dataFields>
  <chartFormats count="2">
    <chartFormat chart="4"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count of project (Month)"/>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data">
        <x15:activeTabTopLevelEntity name="[proje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F3139-939E-4A02-9F6F-22BBA208F2B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stastus summary">
  <location ref="A3:B6" firstHeaderRow="1" firstDataRow="1" firstDataCol="1"/>
  <pivotFields count="27">
    <pivotField showAll="0">
      <items count="4">
        <item x="0"/>
        <item h="1" x="2"/>
        <item h="1" x="1"/>
        <item t="default"/>
      </items>
    </pivotField>
    <pivotField showAll="0"/>
    <pivotField dataField="1" showAll="0"/>
    <pivotField showAll="0"/>
    <pivotField axis="axisRow" showAll="0">
      <items count="3">
        <item x="0"/>
        <item x="1"/>
        <item t="default"/>
      </items>
    </pivotField>
    <pivotField numFmtId="3" showAll="0"/>
    <pivotField showAll="0"/>
    <pivotField showAll="0"/>
    <pivotField showAll="0"/>
    <pivotField showAll="0"/>
    <pivotField showAll="0"/>
    <pivotField showAll="0"/>
    <pivotField showAll="0"/>
    <pivotField showAll="0"/>
    <pivotField showAll="0"/>
    <pivotField numFmtId="1" showAll="0"/>
    <pivotField numFmtId="1" showAll="0"/>
    <pivotField numFmtId="14"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numFmtId="14" showAll="0"/>
    <pivotField numFmtId="14" showAll="0"/>
    <pivotField numFmtId="1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Project ID Number"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18A9A4-E115-43FE-A880-2B0D14E2D13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ject value by type">
  <location ref="A20:B26" firstHeaderRow="1" firstDataRow="1" firstDataCol="1"/>
  <pivotFields count="27">
    <pivotField showAll="0">
      <items count="4">
        <item x="0"/>
        <item h="1" x="2"/>
        <item h="1" x="1"/>
        <item t="default"/>
      </items>
    </pivotField>
    <pivotField showAll="0"/>
    <pivotField showAll="0"/>
    <pivotField showAll="0"/>
    <pivotField showAll="0"/>
    <pivotField dataField="1" numFmtId="3" showAll="0"/>
    <pivotField showAll="0"/>
    <pivotField axis="axisRow" showAll="0">
      <items count="8">
        <item x="5"/>
        <item x="3"/>
        <item x="4"/>
        <item x="2"/>
        <item x="1"/>
        <item x="6"/>
        <item x="0"/>
        <item t="default"/>
      </items>
    </pivotField>
    <pivotField showAll="0"/>
    <pivotField showAll="0"/>
    <pivotField showAll="0"/>
    <pivotField showAll="0"/>
    <pivotField showAll="0"/>
    <pivotField showAll="0"/>
    <pivotField showAll="0"/>
    <pivotField numFmtId="1" showAll="0"/>
    <pivotField numFmtId="1" showAll="0"/>
    <pivotField numFmtId="14"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numFmtId="14" showAll="0"/>
    <pivotField numFmtId="14" showAll="0"/>
    <pivotField numFmtId="1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6"/>
    </i>
    <i t="grand">
      <x/>
    </i>
  </rowItems>
  <colItems count="1">
    <i/>
  </colItems>
  <dataFields count="1">
    <dataField name="Sum of Project Value" fld="5" baseField="0" baseItem="0" numFmtId="3"/>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2A84B4-353B-40D9-A19F-D76038760A28}" sourceName="Year">
  <pivotTables>
    <pivotTable tabId="5" name="PivotTable4"/>
    <pivotTable tabId="2" name="PivotTable2"/>
    <pivotTable tabId="2" name="PivotTable3"/>
    <pivotTable tabId="4" name="PivotTable1"/>
  </pivotTables>
  <data>
    <tabular pivotCacheId="1754460088">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2C4D8EC-3596-48ED-A329-E12146040802}" sourceName="Month">
  <pivotTables>
    <pivotTable tabId="5" name="PivotTable4"/>
  </pivotTables>
  <data>
    <tabular pivotCacheId="1754460088">
      <items count="12">
        <i x="6" nd="1"/>
        <i x="0" nd="1"/>
        <i x="4" nd="1"/>
        <i x="11" s="1" nd="1"/>
        <i x="8" nd="1"/>
        <i x="5" nd="1"/>
        <i x="1" nd="1"/>
        <i x="2" nd="1"/>
        <i x="7" nd="1"/>
        <i x="10" nd="1"/>
        <i x="9"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DADBE8A-5A03-447C-B399-2AD4158E1A77}" sourceName="Status">
  <pivotTables>
    <pivotTable tabId="5" name="PivotTable4"/>
  </pivotTables>
  <data>
    <tabular pivotCacheId="1754460088">
      <items count="2">
        <i x="0" s="1"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94B3AA8C-FC42-4110-91CA-8293D48F3828}" sourceName="Project Type">
  <pivotTables>
    <pivotTable tabId="5" name="PivotTable4"/>
  </pivotTables>
  <data>
    <tabular pivotCacheId="1754460088">
      <items count="7">
        <i x="5" nd="1"/>
        <i x="3" nd="1"/>
        <i x="4" nd="1"/>
        <i x="2" nd="1"/>
        <i x="1" nd="1"/>
        <i x="6" s="1"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11E6EC0E-6A7A-4103-B752-69F0DDD81C32}" sourceName="Priority">
  <pivotTables>
    <pivotTable tabId="5" name="PivotTable4"/>
  </pivotTables>
  <data>
    <tabular pivotCacheId="1754460088">
      <items count="3">
        <i x="2" s="1" nd="1"/>
        <i x="1" s="1" nd="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Manager" xr10:uid="{2142D3E7-5267-444E-AF1D-25EC16BC5842}" sourceName="Project Manager">
  <pivotTables>
    <pivotTable tabId="5" name="PivotTable4"/>
  </pivotTables>
  <data>
    <tabular pivotCacheId="1754460088">
      <items count="4">
        <i x="1" nd="1"/>
        <i x="3" nd="1"/>
        <i x="2" s="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DB0726-1925-4D11-9B40-179379554155}" cache="Slicer_Year" caption="Year" rowHeight="247650"/>
  <slicer name="Month" xr10:uid="{D2D87854-0EC7-4486-9DEA-C8587015EF2B}" cache="Slicer_Month" caption="Month" startItem="5" rowHeight="247650"/>
  <slicer name="Status" xr10:uid="{5830CA97-C3D2-46AC-9746-AFDFF76C4114}" cache="Slicer_Status" caption="Status" rowHeight="247650"/>
  <slicer name="Project Type" xr10:uid="{BC4723B4-E8C1-4EB3-970E-8356B5D9819F}" cache="Slicer_Project_Type" caption="Project Type" rowHeight="247650"/>
  <slicer name="Priority" xr10:uid="{EB85ABA2-D23C-4D4D-B537-5365B66AEAFD}" cache="Slicer_Priority" caption="Priority" rowHeight="247650"/>
  <slicer name="Project Manager" xr10:uid="{C4C524F4-C9C1-48C8-ACCE-E7D2E44937EC}" cache="Slicer_Project_Manager" caption="Project Manager" startItem="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D6BAED6-5B4E-4DD1-85BD-4186BD150BC1}" cache="Slicer_Year" caption="Year" style="SlicerStyleOther1" rowHeight="247650"/>
  <slicer name="Month 1" xr10:uid="{1C0ECB61-2C09-4925-8D01-D909660EA04D}" cache="Slicer_Month" caption="Month" startItem="2" style="SlicerStyleOther1" rowHeight="247650"/>
  <slicer name="Status 1" xr10:uid="{7853EB5E-D717-472C-BD8C-D6EC4AEAD86F}" cache="Slicer_Status" caption="Status" style="SlicerStyleOther1" rowHeight="247650"/>
  <slicer name="Project Type 1" xr10:uid="{71887E31-BAFB-4968-B646-E14B85CF02B5}" cache="Slicer_Project_Type" caption="Project Type" startItem="5" style="SlicerStyleOther1" rowHeight="247650"/>
  <slicer name="Project Manager 1" xr10:uid="{03704DB4-9684-4506-9D38-B7B8E00B778D}" cache="Slicer_Project_Manager" caption="Project Manager" startItem="1"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2A4E36-75AA-4DDD-8785-25E41C360E84}" name="projectdata" displayName="projectdata" ref="A1:Z74" totalsRowCount="1" headerRowDxfId="58" dataDxfId="57">
  <autoFilter ref="A1:Z73" xr:uid="{EB2A4E36-75AA-4DDD-8785-25E41C360E84}"/>
  <sortState xmlns:xlrd2="http://schemas.microsoft.com/office/spreadsheetml/2017/richdata2" ref="A2:Y73">
    <sortCondition descending="1" ref="R1:R73"/>
  </sortState>
  <tableColumns count="26">
    <tableColumn id="49" xr3:uid="{789776A2-3A16-4E50-AFE5-E1E18764A141}" name="Year" dataDxfId="56" totalsRowDxfId="55"/>
    <tableColumn id="43" xr3:uid="{6DBD983A-58F5-4A91-BB35-383243821F26}" name="Month" dataDxfId="54" totalsRowDxfId="53"/>
    <tableColumn id="46" xr3:uid="{FBB5F585-4D8C-4D6D-AB12-66BDAF15B66F}" name="Project ID Number" totalsRowFunction="count" dataDxfId="52" totalsRowDxfId="51"/>
    <tableColumn id="9" xr3:uid="{105F3F4B-02B8-447C-99CE-260D612086A5}" name="Project Name" totalsRowFunction="count" dataDxfId="50" totalsRowDxfId="49"/>
    <tableColumn id="7" xr3:uid="{8943F05C-04BD-4361-BCA4-061B3359C887}" name="Status" totalsRowFunction="custom" dataDxfId="48" totalsRowDxfId="47">
      <totalsRowFormula>COUNTIF(E3:E73,"ACTIVE")</totalsRowFormula>
    </tableColumn>
    <tableColumn id="40" xr3:uid="{2499326F-9929-43A8-98F8-FE8B7FA2FF47}" name="Project Value" dataDxfId="46" totalsRowDxfId="45"/>
    <tableColumn id="44" xr3:uid="{541820D9-9ED3-4207-AE45-7591C31703C0}" name="Project Descriptions" dataDxfId="44" totalsRowDxfId="43"/>
    <tableColumn id="3" xr3:uid="{2B49E234-206C-43B6-A62B-C1B1D8A7EE65}" name="Project Type" dataDxfId="42" totalsRowDxfId="41"/>
    <tableColumn id="5" xr3:uid="{D0A5BF7E-6A69-4F19-B0C4-80318009B429}" name="9" dataDxfId="40" totalsRowDxfId="39"/>
    <tableColumn id="8" xr3:uid="{7B84C7A2-71B5-4620-8DC3-A5B940AB1F3D}" name="Substatus" dataDxfId="38" totalsRowDxfId="37"/>
    <tableColumn id="20" xr3:uid="{9956A5E4-450A-420A-8037-A078068D8861}" name="Project Manager" dataDxfId="36" totalsRowDxfId="35"/>
    <tableColumn id="21" xr3:uid="{027D0858-5564-44B8-82D0-C549FAEE8C54}" name="Developers" dataDxfId="34" totalsRowDxfId="33"/>
    <tableColumn id="18" xr3:uid="{1BC9411B-3E26-47F3-90E5-217BB92BB422}" name="Business Analyst" dataDxfId="32" totalsRowDxfId="31"/>
    <tableColumn id="13" xr3:uid="{14EB68DF-D83A-44FD-9EAF-852101A3EBDF}" name="Next Action" dataDxfId="30" totalsRowDxfId="29"/>
    <tableColumn id="27" xr3:uid="{7BFFA77A-9DBB-4ED4-B683-B915F578AC13}" name="ITQA" dataDxfId="28" totalsRowDxfId="27"/>
    <tableColumn id="11" xr3:uid="{7197F77F-67EE-406F-9495-01C51428576B}" name="FTE Savings" dataDxfId="26" totalsRowDxfId="25"/>
    <tableColumn id="12" xr3:uid="{CAB909A7-1CF5-4181-A4B7-415D621A7983}" name="Working Hours" totalsRowFunction="custom" dataDxfId="24" totalsRowDxfId="23">
      <totalsRowFormula>AVERAGE(projectdata[Working Hours])</totalsRowFormula>
    </tableColumn>
    <tableColumn id="29" xr3:uid="{287A1A06-D357-472C-B6F1-2E08BB27AC26}" name="Start date" dataDxfId="22" totalsRowDxfId="21"/>
    <tableColumn id="30" xr3:uid="{619E6137-BE24-4A4B-AD56-DDB3EE2F981E}" name="Dev Start Date" dataDxfId="20" totalsRowDxfId="19"/>
    <tableColumn id="31" xr3:uid="{EBB85A9B-CFAD-4004-BD5E-6EB78A308076}" name="Internal Testing Date" dataDxfId="18" totalsRowDxfId="17"/>
    <tableColumn id="32" xr3:uid="{4E23C010-77DC-4BC0-A07C-BCE54D3B95A8}" name="Target Client Testing Date" dataDxfId="16" totalsRowDxfId="15"/>
    <tableColumn id="33" xr3:uid="{D43474F1-4E66-4F3E-AD59-AEBDFAD029CB}" name="Actual ACC Deployment Date" dataDxfId="14" totalsRowDxfId="13"/>
    <tableColumn id="34" xr3:uid="{FD0A908C-ED01-4130-B48B-E03DED830C21}" name="Target Deployment Date" dataDxfId="12" totalsRowDxfId="11"/>
    <tableColumn id="35" xr3:uid="{5507174D-404B-41AE-A951-6442ECCC78D4}" name="Actual Deployment Date" dataDxfId="10" totalsRowDxfId="9"/>
    <tableColumn id="2" xr3:uid="{6EBA4F3F-23D2-41A2-9FF3-D7B007C5F9EF}" name="Manager Comments" dataDxfId="8" totalsRowDxfId="7"/>
    <tableColumn id="1" xr3:uid="{EB0C4106-0BCD-4C02-B195-618AB7DF8954}" name="count of project" dataDxfId="6" totalsRowDxfId="5">
      <calculatedColumnFormula>COUNT(F2:F73)</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D0DA-70E2-4A23-82F8-2B07C5D7BC52}">
  <dimension ref="A3:N44"/>
  <sheetViews>
    <sheetView topLeftCell="A8" workbookViewId="0">
      <selection activeCell="G54" sqref="G54"/>
    </sheetView>
  </sheetViews>
  <sheetFormatPr defaultRowHeight="14.4" x14ac:dyDescent="0.3"/>
  <cols>
    <col min="1" max="1" width="12.44140625" bestFit="1" customWidth="1"/>
    <col min="2" max="2" width="21.33203125" bestFit="1" customWidth="1"/>
  </cols>
  <sheetData>
    <row r="3" spans="1:2" x14ac:dyDescent="0.3">
      <c r="A3" s="17" t="s">
        <v>334</v>
      </c>
      <c r="B3" t="s">
        <v>349</v>
      </c>
    </row>
    <row r="4" spans="1:2" x14ac:dyDescent="0.3">
      <c r="A4" s="18" t="s">
        <v>202</v>
      </c>
      <c r="B4">
        <v>25</v>
      </c>
    </row>
    <row r="5" spans="1:2" x14ac:dyDescent="0.3">
      <c r="A5" s="18" t="s">
        <v>60</v>
      </c>
      <c r="B5">
        <v>30</v>
      </c>
    </row>
    <row r="6" spans="1:2" x14ac:dyDescent="0.3">
      <c r="A6" s="18" t="s">
        <v>24</v>
      </c>
      <c r="B6">
        <v>17</v>
      </c>
    </row>
    <row r="7" spans="1:2" x14ac:dyDescent="0.3">
      <c r="A7" s="18" t="s">
        <v>335</v>
      </c>
      <c r="B7">
        <v>72</v>
      </c>
    </row>
    <row r="27" spans="12:14" x14ac:dyDescent="0.3">
      <c r="L27" s="25"/>
      <c r="M27" s="26"/>
      <c r="N27" s="27"/>
    </row>
    <row r="28" spans="12:14" x14ac:dyDescent="0.3">
      <c r="L28" s="28"/>
      <c r="M28" s="29"/>
      <c r="N28" s="30"/>
    </row>
    <row r="29" spans="12:14" x14ac:dyDescent="0.3">
      <c r="L29" s="28"/>
      <c r="M29" s="29"/>
      <c r="N29" s="30"/>
    </row>
    <row r="30" spans="12:14" x14ac:dyDescent="0.3">
      <c r="L30" s="28"/>
      <c r="M30" s="29"/>
      <c r="N30" s="30"/>
    </row>
    <row r="31" spans="12:14" x14ac:dyDescent="0.3">
      <c r="L31" s="28"/>
      <c r="M31" s="29"/>
      <c r="N31" s="30"/>
    </row>
    <row r="32" spans="12:14" x14ac:dyDescent="0.3">
      <c r="L32" s="28"/>
      <c r="M32" s="29"/>
      <c r="N32" s="30"/>
    </row>
    <row r="33" spans="12:14" x14ac:dyDescent="0.3">
      <c r="L33" s="28"/>
      <c r="M33" s="29"/>
      <c r="N33" s="30"/>
    </row>
    <row r="34" spans="12:14" x14ac:dyDescent="0.3">
      <c r="L34" s="28"/>
      <c r="M34" s="29"/>
      <c r="N34" s="30"/>
    </row>
    <row r="35" spans="12:14" x14ac:dyDescent="0.3">
      <c r="L35" s="28"/>
      <c r="M35" s="29"/>
      <c r="N35" s="30"/>
    </row>
    <row r="36" spans="12:14" x14ac:dyDescent="0.3">
      <c r="L36" s="28"/>
      <c r="M36" s="29"/>
      <c r="N36" s="30"/>
    </row>
    <row r="37" spans="12:14" x14ac:dyDescent="0.3">
      <c r="L37" s="28"/>
      <c r="M37" s="29"/>
      <c r="N37" s="30"/>
    </row>
    <row r="38" spans="12:14" x14ac:dyDescent="0.3">
      <c r="L38" s="28"/>
      <c r="M38" s="29"/>
      <c r="N38" s="30"/>
    </row>
    <row r="39" spans="12:14" x14ac:dyDescent="0.3">
      <c r="L39" s="28"/>
      <c r="M39" s="29"/>
      <c r="N39" s="30"/>
    </row>
    <row r="40" spans="12:14" x14ac:dyDescent="0.3">
      <c r="L40" s="28"/>
      <c r="M40" s="29"/>
      <c r="N40" s="30"/>
    </row>
    <row r="41" spans="12:14" x14ac:dyDescent="0.3">
      <c r="L41" s="28"/>
      <c r="M41" s="29"/>
      <c r="N41" s="30"/>
    </row>
    <row r="42" spans="12:14" x14ac:dyDescent="0.3">
      <c r="L42" s="28"/>
      <c r="M42" s="29"/>
      <c r="N42" s="30"/>
    </row>
    <row r="43" spans="12:14" x14ac:dyDescent="0.3">
      <c r="L43" s="28"/>
      <c r="M43" s="29"/>
      <c r="N43" s="30"/>
    </row>
    <row r="44" spans="12:14" x14ac:dyDescent="0.3">
      <c r="L44" s="31"/>
      <c r="M44" s="32"/>
      <c r="N44" s="3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E145-7CE4-437A-8206-E9C5A9E3ED1E}">
  <dimension ref="A3:Y45"/>
  <sheetViews>
    <sheetView topLeftCell="B27" zoomScale="101" zoomScaleNormal="100" workbookViewId="0">
      <selection activeCell="Q39" sqref="Q39"/>
    </sheetView>
  </sheetViews>
  <sheetFormatPr defaultRowHeight="14.4" x14ac:dyDescent="0.3"/>
  <cols>
    <col min="1" max="1" width="12.44140625" bestFit="1" customWidth="1"/>
    <col min="2" max="2" width="15.5546875" bestFit="1" customWidth="1"/>
    <col min="3" max="4" width="5.77734375" bestFit="1" customWidth="1"/>
    <col min="5" max="5" width="10.5546875" bestFit="1" customWidth="1"/>
    <col min="6" max="10" width="8.33203125" bestFit="1" customWidth="1"/>
    <col min="11" max="18" width="9.33203125" bestFit="1" customWidth="1"/>
    <col min="19" max="19" width="17.109375" customWidth="1"/>
    <col min="20" max="20" width="13.5546875" bestFit="1" customWidth="1"/>
    <col min="21" max="23" width="9.33203125" bestFit="1" customWidth="1"/>
    <col min="24" max="24" width="12.44140625" bestFit="1" customWidth="1"/>
    <col min="25" max="25" width="13.5546875" bestFit="1" customWidth="1"/>
    <col min="26" max="32" width="9.33203125" bestFit="1" customWidth="1"/>
    <col min="33" max="41" width="8.33203125" bestFit="1" customWidth="1"/>
    <col min="42" max="60" width="9.33203125" bestFit="1" customWidth="1"/>
    <col min="61" max="69" width="8.33203125" bestFit="1" customWidth="1"/>
    <col min="70" max="72" width="9.33203125" bestFit="1" customWidth="1"/>
    <col min="73" max="73" width="10.5546875" bestFit="1" customWidth="1"/>
    <col min="74" max="74" width="10.6640625" bestFit="1" customWidth="1"/>
    <col min="75" max="75" width="28.21875" bestFit="1" customWidth="1"/>
    <col min="76" max="76" width="10.6640625" bestFit="1" customWidth="1"/>
    <col min="77" max="77" width="28.21875" bestFit="1" customWidth="1"/>
    <col min="78" max="78" width="10.6640625" bestFit="1" customWidth="1"/>
    <col min="79" max="79" width="28.21875" bestFit="1" customWidth="1"/>
    <col min="80" max="80" width="10.6640625" bestFit="1" customWidth="1"/>
    <col min="81" max="81" width="28.21875" bestFit="1" customWidth="1"/>
    <col min="82" max="82" width="10.6640625" bestFit="1" customWidth="1"/>
    <col min="83" max="83" width="28.21875" bestFit="1" customWidth="1"/>
    <col min="84" max="84" width="10.6640625" bestFit="1" customWidth="1"/>
    <col min="85" max="85" width="28.21875" bestFit="1" customWidth="1"/>
    <col min="86" max="86" width="10.6640625" bestFit="1" customWidth="1"/>
    <col min="87" max="87" width="28.21875" bestFit="1" customWidth="1"/>
    <col min="88" max="88" width="10.6640625" bestFit="1" customWidth="1"/>
    <col min="89" max="89" width="28.21875" bestFit="1" customWidth="1"/>
    <col min="90" max="90" width="10.6640625" bestFit="1" customWidth="1"/>
    <col min="91" max="91" width="28.21875" bestFit="1" customWidth="1"/>
    <col min="92" max="92" width="10.6640625" bestFit="1" customWidth="1"/>
    <col min="93" max="93" width="28.21875" bestFit="1" customWidth="1"/>
    <col min="94" max="94" width="10.6640625" bestFit="1" customWidth="1"/>
    <col min="95" max="95" width="28.21875" bestFit="1" customWidth="1"/>
    <col min="96" max="96" width="10.6640625" bestFit="1" customWidth="1"/>
    <col min="97" max="97" width="28.21875" bestFit="1" customWidth="1"/>
    <col min="98" max="98" width="10.6640625" bestFit="1" customWidth="1"/>
    <col min="99" max="99" width="28.21875" bestFit="1" customWidth="1"/>
    <col min="100" max="100" width="10.6640625" bestFit="1" customWidth="1"/>
    <col min="101" max="101" width="28.21875" bestFit="1" customWidth="1"/>
    <col min="102" max="102" width="10.6640625" bestFit="1" customWidth="1"/>
    <col min="103" max="103" width="28.21875" bestFit="1" customWidth="1"/>
    <col min="104" max="104" width="10.6640625" bestFit="1" customWidth="1"/>
    <col min="105" max="105" width="28.21875" bestFit="1" customWidth="1"/>
    <col min="106" max="106" width="10.6640625" bestFit="1" customWidth="1"/>
    <col min="107" max="107" width="28.21875" bestFit="1" customWidth="1"/>
    <col min="108" max="108" width="10.6640625" bestFit="1" customWidth="1"/>
    <col min="109" max="109" width="28.21875" bestFit="1" customWidth="1"/>
    <col min="110" max="110" width="10.6640625" bestFit="1" customWidth="1"/>
    <col min="111" max="111" width="28.21875" bestFit="1" customWidth="1"/>
    <col min="112" max="112" width="10.6640625" bestFit="1" customWidth="1"/>
    <col min="113" max="113" width="28.21875" bestFit="1" customWidth="1"/>
    <col min="114" max="114" width="10.6640625" bestFit="1" customWidth="1"/>
    <col min="115" max="115" width="28.21875" bestFit="1" customWidth="1"/>
    <col min="116" max="116" width="10.6640625" bestFit="1" customWidth="1"/>
    <col min="117" max="117" width="28.21875" bestFit="1" customWidth="1"/>
    <col min="118" max="118" width="10.6640625" bestFit="1" customWidth="1"/>
    <col min="119" max="119" width="28.21875" bestFit="1" customWidth="1"/>
    <col min="120" max="120" width="10.6640625" bestFit="1" customWidth="1"/>
    <col min="121" max="121" width="28.21875" bestFit="1" customWidth="1"/>
    <col min="122" max="122" width="10.6640625" bestFit="1" customWidth="1"/>
    <col min="123" max="123" width="28.21875" bestFit="1" customWidth="1"/>
    <col min="124" max="124" width="10.6640625" bestFit="1" customWidth="1"/>
    <col min="125" max="125" width="28.21875" bestFit="1" customWidth="1"/>
    <col min="126" max="126" width="10.6640625" bestFit="1" customWidth="1"/>
    <col min="127" max="127" width="28.21875" bestFit="1" customWidth="1"/>
    <col min="128" max="128" width="10.6640625" bestFit="1" customWidth="1"/>
    <col min="129" max="129" width="28.21875" bestFit="1" customWidth="1"/>
    <col min="130" max="130" width="10.6640625" bestFit="1" customWidth="1"/>
    <col min="131" max="131" width="28.21875" bestFit="1" customWidth="1"/>
    <col min="132" max="132" width="10.6640625" bestFit="1" customWidth="1"/>
    <col min="133" max="133" width="28.21875" bestFit="1" customWidth="1"/>
    <col min="134" max="134" width="10.6640625" bestFit="1" customWidth="1"/>
    <col min="135" max="135" width="28.21875" bestFit="1" customWidth="1"/>
    <col min="136" max="136" width="10.6640625" bestFit="1" customWidth="1"/>
    <col min="137" max="137" width="28.21875" bestFit="1" customWidth="1"/>
    <col min="138" max="138" width="10.6640625" bestFit="1" customWidth="1"/>
    <col min="139" max="139" width="28.21875" bestFit="1" customWidth="1"/>
    <col min="140" max="140" width="10.6640625" bestFit="1" customWidth="1"/>
    <col min="141" max="141" width="28.21875" bestFit="1" customWidth="1"/>
    <col min="142" max="142" width="10.6640625" bestFit="1" customWidth="1"/>
    <col min="143" max="143" width="28.21875" bestFit="1" customWidth="1"/>
    <col min="144" max="144" width="15.21875" bestFit="1" customWidth="1"/>
    <col min="145" max="145" width="32.77734375" bestFit="1" customWidth="1"/>
  </cols>
  <sheetData>
    <row r="3" spans="1:25" x14ac:dyDescent="0.3">
      <c r="A3" s="17" t="s">
        <v>346</v>
      </c>
      <c r="B3" s="17" t="s">
        <v>337</v>
      </c>
    </row>
    <row r="4" spans="1:25" x14ac:dyDescent="0.3">
      <c r="B4" t="s">
        <v>37</v>
      </c>
      <c r="C4" t="s">
        <v>88</v>
      </c>
      <c r="D4" t="s">
        <v>94</v>
      </c>
      <c r="E4" t="s">
        <v>335</v>
      </c>
    </row>
    <row r="5" spans="1:25" x14ac:dyDescent="0.3">
      <c r="A5" s="17" t="s">
        <v>334</v>
      </c>
    </row>
    <row r="6" spans="1:25" x14ac:dyDescent="0.3">
      <c r="A6" s="18" t="s">
        <v>48</v>
      </c>
      <c r="B6">
        <v>4</v>
      </c>
      <c r="C6">
        <v>2</v>
      </c>
      <c r="E6">
        <v>6</v>
      </c>
      <c r="X6" s="17" t="s">
        <v>334</v>
      </c>
      <c r="Y6" t="s">
        <v>348</v>
      </c>
    </row>
    <row r="7" spans="1:25" x14ac:dyDescent="0.3">
      <c r="A7" s="18" t="s">
        <v>133</v>
      </c>
      <c r="C7">
        <v>4</v>
      </c>
      <c r="D7">
        <v>2</v>
      </c>
      <c r="E7">
        <v>6</v>
      </c>
      <c r="X7" s="18" t="s">
        <v>39</v>
      </c>
      <c r="Y7">
        <v>21</v>
      </c>
    </row>
    <row r="8" spans="1:25" x14ac:dyDescent="0.3">
      <c r="A8" s="18" t="s">
        <v>55</v>
      </c>
      <c r="B8">
        <v>4</v>
      </c>
      <c r="C8">
        <v>1</v>
      </c>
      <c r="D8">
        <v>1</v>
      </c>
      <c r="E8">
        <v>6</v>
      </c>
      <c r="X8" s="18" t="s">
        <v>26</v>
      </c>
      <c r="Y8">
        <v>1</v>
      </c>
    </row>
    <row r="9" spans="1:25" x14ac:dyDescent="0.3">
      <c r="A9" s="18" t="s">
        <v>88</v>
      </c>
      <c r="B9">
        <v>2</v>
      </c>
      <c r="C9">
        <v>3</v>
      </c>
      <c r="D9">
        <v>1</v>
      </c>
      <c r="E9">
        <v>6</v>
      </c>
      <c r="X9" s="18" t="s">
        <v>335</v>
      </c>
      <c r="Y9">
        <v>22</v>
      </c>
    </row>
    <row r="10" spans="1:25" x14ac:dyDescent="0.3">
      <c r="A10" s="18" t="s">
        <v>37</v>
      </c>
      <c r="B10">
        <v>3</v>
      </c>
      <c r="C10">
        <v>1</v>
      </c>
      <c r="D10">
        <v>2</v>
      </c>
      <c r="E10">
        <v>6</v>
      </c>
    </row>
    <row r="11" spans="1:25" x14ac:dyDescent="0.3">
      <c r="A11" s="18" t="s">
        <v>24</v>
      </c>
      <c r="B11">
        <v>4</v>
      </c>
      <c r="C11">
        <v>1</v>
      </c>
      <c r="D11">
        <v>1</v>
      </c>
      <c r="E11">
        <v>6</v>
      </c>
    </row>
    <row r="12" spans="1:25" x14ac:dyDescent="0.3">
      <c r="A12" s="18" t="s">
        <v>60</v>
      </c>
      <c r="B12">
        <v>1</v>
      </c>
      <c r="C12">
        <v>3</v>
      </c>
      <c r="D12">
        <v>2</v>
      </c>
      <c r="E12">
        <v>6</v>
      </c>
    </row>
    <row r="13" spans="1:25" x14ac:dyDescent="0.3">
      <c r="A13" s="18" t="s">
        <v>94</v>
      </c>
      <c r="B13">
        <v>3</v>
      </c>
      <c r="C13">
        <v>2</v>
      </c>
      <c r="D13">
        <v>1</v>
      </c>
      <c r="E13">
        <v>6</v>
      </c>
    </row>
    <row r="14" spans="1:25" x14ac:dyDescent="0.3">
      <c r="A14" s="18" t="s">
        <v>202</v>
      </c>
      <c r="B14">
        <v>3</v>
      </c>
      <c r="C14">
        <v>2</v>
      </c>
      <c r="D14">
        <v>1</v>
      </c>
      <c r="E14">
        <v>6</v>
      </c>
    </row>
    <row r="15" spans="1:25" x14ac:dyDescent="0.3">
      <c r="A15" s="18" t="s">
        <v>67</v>
      </c>
      <c r="B15">
        <v>2</v>
      </c>
      <c r="C15">
        <v>3</v>
      </c>
      <c r="D15">
        <v>1</v>
      </c>
      <c r="E15">
        <v>6</v>
      </c>
    </row>
    <row r="16" spans="1:25" x14ac:dyDescent="0.3">
      <c r="A16" s="18" t="s">
        <v>161</v>
      </c>
      <c r="B16">
        <v>3</v>
      </c>
      <c r="C16">
        <v>3</v>
      </c>
      <c r="E16">
        <v>6</v>
      </c>
    </row>
    <row r="17" spans="1:15" x14ac:dyDescent="0.3">
      <c r="A17" s="18" t="s">
        <v>75</v>
      </c>
      <c r="B17">
        <v>2</v>
      </c>
      <c r="C17">
        <v>3</v>
      </c>
      <c r="D17">
        <v>1</v>
      </c>
      <c r="E17">
        <v>6</v>
      </c>
    </row>
    <row r="18" spans="1:15" x14ac:dyDescent="0.3">
      <c r="A18" s="18" t="s">
        <v>335</v>
      </c>
      <c r="B18">
        <v>31</v>
      </c>
      <c r="C18">
        <v>28</v>
      </c>
      <c r="D18">
        <v>13</v>
      </c>
      <c r="E18">
        <v>72</v>
      </c>
    </row>
    <row r="26" spans="1:15" x14ac:dyDescent="0.3">
      <c r="C26" t="s">
        <v>350</v>
      </c>
    </row>
    <row r="29" spans="1:15" x14ac:dyDescent="0.3">
      <c r="B29" s="34" t="s">
        <v>351</v>
      </c>
      <c r="C29" s="36"/>
      <c r="D29" s="36"/>
      <c r="E29" s="36"/>
      <c r="F29" s="36"/>
      <c r="G29" s="36"/>
      <c r="H29" s="36"/>
      <c r="I29" s="36"/>
      <c r="J29" s="34"/>
      <c r="K29" s="34"/>
      <c r="L29" s="34"/>
      <c r="M29" s="34"/>
    </row>
    <row r="30" spans="1:15" x14ac:dyDescent="0.3">
      <c r="B30" s="34"/>
      <c r="C30" s="36"/>
      <c r="D30" s="36"/>
      <c r="E30" s="36"/>
      <c r="F30" s="36"/>
      <c r="G30" s="36"/>
      <c r="H30" s="36"/>
      <c r="I30" s="36"/>
      <c r="J30" s="34"/>
      <c r="K30" s="34"/>
      <c r="L30" s="34"/>
      <c r="M30" s="34"/>
    </row>
    <row r="31" spans="1:15" ht="14.4" customHeight="1" x14ac:dyDescent="0.3">
      <c r="B31" s="34"/>
      <c r="C31" s="36"/>
      <c r="D31" s="36"/>
      <c r="E31" s="36"/>
      <c r="F31" s="36"/>
      <c r="G31" s="36"/>
      <c r="H31" s="36"/>
      <c r="I31" s="36"/>
      <c r="J31" s="34"/>
      <c r="K31" s="34"/>
      <c r="L31" s="34"/>
      <c r="M31" s="34"/>
    </row>
    <row r="32" spans="1:15" x14ac:dyDescent="0.3">
      <c r="B32" s="34"/>
      <c r="C32" s="36"/>
      <c r="D32" s="36"/>
      <c r="E32" s="36"/>
      <c r="F32" s="36"/>
      <c r="G32" s="36"/>
      <c r="H32" s="36"/>
      <c r="I32" s="36"/>
      <c r="J32" s="34"/>
      <c r="K32" s="34"/>
      <c r="L32" s="37" t="s">
        <v>352</v>
      </c>
      <c r="M32" s="38"/>
      <c r="N32" s="38"/>
      <c r="O32" s="38"/>
    </row>
    <row r="33" spans="2:17" x14ac:dyDescent="0.3">
      <c r="B33" s="34"/>
      <c r="C33" s="36"/>
      <c r="D33" s="36"/>
      <c r="E33" s="36"/>
      <c r="F33" s="36"/>
      <c r="G33" s="36"/>
      <c r="H33" s="36"/>
      <c r="I33" s="36"/>
      <c r="J33" s="34"/>
      <c r="K33" s="34"/>
      <c r="L33" s="38"/>
      <c r="M33" s="38"/>
      <c r="N33" s="38"/>
      <c r="O33" s="38"/>
    </row>
    <row r="34" spans="2:17" x14ac:dyDescent="0.3">
      <c r="B34" s="34"/>
      <c r="C34" s="36"/>
      <c r="D34" s="36"/>
      <c r="E34" s="36"/>
      <c r="F34" s="36"/>
      <c r="G34" s="36"/>
      <c r="H34" s="36"/>
      <c r="I34" s="36"/>
      <c r="J34" s="34"/>
      <c r="K34" s="34"/>
      <c r="L34" s="38"/>
      <c r="M34" s="38"/>
      <c r="N34" s="38"/>
      <c r="O34" s="38"/>
    </row>
    <row r="35" spans="2:17" x14ac:dyDescent="0.3">
      <c r="B35" s="34"/>
      <c r="C35" s="36"/>
      <c r="D35" s="36"/>
      <c r="E35" s="36"/>
      <c r="F35" s="36"/>
      <c r="G35" s="36"/>
      <c r="H35" s="36"/>
      <c r="I35" s="36"/>
      <c r="J35" s="34"/>
      <c r="K35" s="34"/>
      <c r="L35" s="34"/>
      <c r="M35" s="34"/>
    </row>
    <row r="37" spans="2:17" x14ac:dyDescent="0.3">
      <c r="O37" s="40"/>
      <c r="P37" s="41"/>
      <c r="Q37" s="41"/>
    </row>
    <row r="38" spans="2:17" x14ac:dyDescent="0.3">
      <c r="O38" s="41"/>
      <c r="P38" s="41"/>
      <c r="Q38" s="41"/>
    </row>
    <row r="40" spans="2:17" x14ac:dyDescent="0.3">
      <c r="G40" s="39"/>
      <c r="H40" s="39"/>
      <c r="I40" s="39"/>
      <c r="J40" s="39"/>
      <c r="K40" s="39"/>
      <c r="L40" s="39"/>
    </row>
    <row r="41" spans="2:17" x14ac:dyDescent="0.3">
      <c r="G41" s="39"/>
      <c r="H41" s="39"/>
      <c r="I41" s="39"/>
      <c r="J41" s="39"/>
      <c r="K41" s="39"/>
      <c r="L41" s="39"/>
    </row>
    <row r="42" spans="2:17" x14ac:dyDescent="0.3">
      <c r="G42" s="39"/>
      <c r="H42" s="39"/>
      <c r="I42" s="39"/>
      <c r="J42" s="39"/>
      <c r="K42" s="39"/>
      <c r="L42" s="39"/>
    </row>
    <row r="43" spans="2:17" x14ac:dyDescent="0.3">
      <c r="G43" s="39"/>
      <c r="H43" s="39"/>
      <c r="I43" s="39"/>
      <c r="J43" s="39"/>
      <c r="K43" s="39"/>
      <c r="L43" s="39"/>
    </row>
    <row r="44" spans="2:17" x14ac:dyDescent="0.3">
      <c r="G44" s="39"/>
      <c r="H44" s="39"/>
      <c r="I44" s="39"/>
      <c r="J44" s="39"/>
      <c r="K44" s="39"/>
      <c r="L44" s="39"/>
    </row>
    <row r="45" spans="2:17" x14ac:dyDescent="0.3">
      <c r="G45" s="39"/>
      <c r="H45" s="39"/>
      <c r="I45" s="39"/>
      <c r="J45" s="39"/>
      <c r="K45" s="39"/>
      <c r="L45" s="39"/>
    </row>
  </sheetData>
  <mergeCells count="4">
    <mergeCell ref="C29:I35"/>
    <mergeCell ref="L32:O34"/>
    <mergeCell ref="G40:L45"/>
    <mergeCell ref="O37:Q38"/>
  </mergeCells>
  <phoneticPr fontId="10" type="noConversion"/>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2F13-AE57-4955-878F-8FCAF085538D}">
  <dimension ref="A3:B8"/>
  <sheetViews>
    <sheetView workbookViewId="0">
      <selection activeCell="E3" sqref="E3"/>
    </sheetView>
  </sheetViews>
  <sheetFormatPr defaultRowHeight="14.4" x14ac:dyDescent="0.3"/>
  <cols>
    <col min="1" max="1" width="19.21875" bestFit="1" customWidth="1"/>
    <col min="2" max="2" width="21.33203125" bestFit="1" customWidth="1"/>
    <col min="3" max="3" width="10.6640625" bestFit="1" customWidth="1"/>
    <col min="4" max="10" width="8.33203125" bestFit="1" customWidth="1"/>
    <col min="11" max="32" width="9.33203125" bestFit="1" customWidth="1"/>
    <col min="33" max="41" width="8.33203125" bestFit="1" customWidth="1"/>
    <col min="42" max="60" width="9.33203125" bestFit="1" customWidth="1"/>
    <col min="61" max="69" width="8.33203125" bestFit="1" customWidth="1"/>
    <col min="70" max="72" width="9.33203125" bestFit="1" customWidth="1"/>
    <col min="73" max="73" width="10.5546875" bestFit="1" customWidth="1"/>
  </cols>
  <sheetData>
    <row r="3" spans="1:2" x14ac:dyDescent="0.3">
      <c r="A3" s="17" t="s">
        <v>345</v>
      </c>
      <c r="B3" t="s">
        <v>347</v>
      </c>
    </row>
    <row r="4" spans="1:2" x14ac:dyDescent="0.3">
      <c r="A4" s="18" t="s">
        <v>43</v>
      </c>
      <c r="B4">
        <v>30</v>
      </c>
    </row>
    <row r="5" spans="1:2" x14ac:dyDescent="0.3">
      <c r="A5" s="18" t="s">
        <v>64</v>
      </c>
      <c r="B5">
        <v>10</v>
      </c>
    </row>
    <row r="6" spans="1:2" x14ac:dyDescent="0.3">
      <c r="A6" s="18" t="s">
        <v>31</v>
      </c>
      <c r="B6">
        <v>8</v>
      </c>
    </row>
    <row r="7" spans="1:2" x14ac:dyDescent="0.3">
      <c r="A7" s="18" t="s">
        <v>51</v>
      </c>
      <c r="B7">
        <v>24</v>
      </c>
    </row>
    <row r="8" spans="1:2" x14ac:dyDescent="0.3">
      <c r="A8" s="18" t="s">
        <v>335</v>
      </c>
      <c r="B8">
        <v>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AC8FF-0DD8-4C07-B83A-8B44CB338AE1}">
  <dimension ref="A1:AF74"/>
  <sheetViews>
    <sheetView topLeftCell="P1" zoomScale="82" zoomScaleNormal="82" workbookViewId="0">
      <selection activeCell="Z2" sqref="Z2"/>
    </sheetView>
  </sheetViews>
  <sheetFormatPr defaultColWidth="16.77734375" defaultRowHeight="15.6" x14ac:dyDescent="0.3"/>
  <cols>
    <col min="1" max="1" width="10.6640625" style="5" bestFit="1" customWidth="1"/>
    <col min="2" max="2" width="10.6640625" style="5" customWidth="1"/>
    <col min="4" max="4" width="32" style="5" customWidth="1"/>
    <col min="5" max="5" width="12.33203125" style="5" bestFit="1" customWidth="1"/>
    <col min="6" max="6" width="16.77734375" style="15"/>
    <col min="7" max="7" width="53.33203125" style="5" customWidth="1"/>
    <col min="8" max="8" width="16.77734375" style="5"/>
    <col min="9" max="9" width="13.109375" bestFit="1" customWidth="1"/>
    <col min="11" max="11" width="13.109375" style="5" bestFit="1" customWidth="1"/>
    <col min="12" max="12" width="12.33203125" style="5" bestFit="1" customWidth="1"/>
    <col min="13" max="13" width="16.77734375" style="5"/>
    <col min="14" max="14" width="24.6640625" customWidth="1"/>
    <col min="15" max="15" width="22.21875" style="5" customWidth="1"/>
    <col min="16" max="16" width="13.77734375" style="5" bestFit="1" customWidth="1"/>
    <col min="17" max="17" width="12" bestFit="1" customWidth="1"/>
    <col min="18" max="18" width="15.44140625" bestFit="1" customWidth="1"/>
    <col min="19" max="19" width="16.5546875" style="5" customWidth="1"/>
    <col min="20" max="20" width="13.6640625" customWidth="1"/>
    <col min="22" max="22" width="18.33203125" customWidth="1"/>
    <col min="23" max="24" width="18.33203125" style="5" customWidth="1"/>
    <col min="25" max="25" width="63.109375" style="5" customWidth="1"/>
    <col min="26" max="26" width="14.5546875" style="5" customWidth="1"/>
    <col min="27" max="27" width="6.77734375" style="5" customWidth="1"/>
    <col min="28" max="28" width="26.109375" style="5" bestFit="1" customWidth="1"/>
    <col min="29" max="30" width="17" style="5" bestFit="1" customWidth="1"/>
    <col min="31" max="31" width="30.77734375" style="5" customWidth="1"/>
    <col min="32" max="32" width="48" bestFit="1" customWidth="1"/>
    <col min="33" max="33" width="71" style="5" bestFit="1" customWidth="1"/>
    <col min="34" max="34" width="16.77734375" style="5"/>
    <col min="35" max="35" width="17" style="5" bestFit="1" customWidth="1"/>
    <col min="36" max="37" width="10.44140625" style="5" customWidth="1"/>
    <col min="38" max="38" width="26.109375" style="5" bestFit="1" customWidth="1"/>
    <col min="39" max="16384" width="16.77734375" style="5"/>
  </cols>
  <sheetData>
    <row r="1" spans="1:32" s="4" customFormat="1" ht="55.95" customHeight="1" x14ac:dyDescent="0.25">
      <c r="A1" s="1" t="s">
        <v>0</v>
      </c>
      <c r="B1" s="1" t="s">
        <v>1</v>
      </c>
      <c r="C1" s="1" t="s">
        <v>2</v>
      </c>
      <c r="D1" s="1" t="s">
        <v>3</v>
      </c>
      <c r="E1" s="1" t="s">
        <v>4</v>
      </c>
      <c r="F1" s="2" t="s">
        <v>5</v>
      </c>
      <c r="G1" s="1" t="s">
        <v>6</v>
      </c>
      <c r="H1" s="1" t="s">
        <v>7</v>
      </c>
      <c r="I1" s="1" t="s">
        <v>343</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3" t="s">
        <v>23</v>
      </c>
      <c r="Z1" s="24" t="s">
        <v>344</v>
      </c>
      <c r="AB1" s="5"/>
    </row>
    <row r="2" spans="1:32" x14ac:dyDescent="0.25">
      <c r="A2" s="6">
        <v>2023</v>
      </c>
      <c r="B2" s="7" t="s">
        <v>88</v>
      </c>
      <c r="C2" s="6">
        <v>1068524</v>
      </c>
      <c r="D2" s="6" t="s">
        <v>89</v>
      </c>
      <c r="E2" s="6" t="s">
        <v>39</v>
      </c>
      <c r="F2" s="16">
        <v>1841294</v>
      </c>
      <c r="G2" s="6" t="s">
        <v>90</v>
      </c>
      <c r="H2" s="6" t="s">
        <v>50</v>
      </c>
      <c r="I2" s="6" t="s">
        <v>29</v>
      </c>
      <c r="J2" s="6" t="s">
        <v>91</v>
      </c>
      <c r="K2" s="6" t="s">
        <v>51</v>
      </c>
      <c r="L2" s="6" t="s">
        <v>32</v>
      </c>
      <c r="M2" s="6" t="s">
        <v>44</v>
      </c>
      <c r="N2" s="6" t="s">
        <v>92</v>
      </c>
      <c r="O2" s="6" t="s">
        <v>35</v>
      </c>
      <c r="P2" s="8">
        <v>259</v>
      </c>
      <c r="Q2" s="8">
        <v>570.65844604362348</v>
      </c>
      <c r="R2" s="9">
        <v>45124</v>
      </c>
      <c r="S2" s="9">
        <v>45124</v>
      </c>
      <c r="T2" s="9">
        <v>45249</v>
      </c>
      <c r="U2" s="9">
        <v>45280</v>
      </c>
      <c r="V2" s="9">
        <v>45312</v>
      </c>
      <c r="W2" s="9">
        <v>45343</v>
      </c>
      <c r="X2" s="9">
        <v>45344</v>
      </c>
      <c r="Y2" s="10" t="s">
        <v>93</v>
      </c>
      <c r="Z2" s="20">
        <f t="shared" ref="Z2:Z33" si="0">COUNT(F2:F73)</f>
        <v>72</v>
      </c>
      <c r="AC2" s="11"/>
      <c r="AF2" s="5"/>
    </row>
    <row r="3" spans="1:32" x14ac:dyDescent="0.25">
      <c r="A3" s="6">
        <v>2023</v>
      </c>
      <c r="B3" s="7" t="s">
        <v>24</v>
      </c>
      <c r="C3" s="6">
        <v>1131697</v>
      </c>
      <c r="D3" s="6" t="s">
        <v>198</v>
      </c>
      <c r="E3" s="6" t="s">
        <v>39</v>
      </c>
      <c r="F3" s="16">
        <v>713185</v>
      </c>
      <c r="G3" s="12" t="s">
        <v>199</v>
      </c>
      <c r="H3" s="6" t="s">
        <v>50</v>
      </c>
      <c r="I3" s="6" t="s">
        <v>29</v>
      </c>
      <c r="J3" s="6" t="s">
        <v>131</v>
      </c>
      <c r="K3" s="6" t="s">
        <v>51</v>
      </c>
      <c r="L3" s="6" t="s">
        <v>186</v>
      </c>
      <c r="M3" s="6" t="s">
        <v>80</v>
      </c>
      <c r="N3" s="6" t="s">
        <v>200</v>
      </c>
      <c r="O3" s="6" t="s">
        <v>35</v>
      </c>
      <c r="P3" s="8">
        <v>332</v>
      </c>
      <c r="Q3" s="8">
        <v>1881.3555870421856</v>
      </c>
      <c r="R3" s="9">
        <v>45123</v>
      </c>
      <c r="S3" s="9">
        <v>45124</v>
      </c>
      <c r="T3" s="9">
        <v>45248</v>
      </c>
      <c r="U3" s="9">
        <v>45279</v>
      </c>
      <c r="V3" s="9">
        <v>45311</v>
      </c>
      <c r="W3" s="9">
        <v>45342</v>
      </c>
      <c r="X3" s="9">
        <v>45343</v>
      </c>
      <c r="Y3" s="10" t="s">
        <v>201</v>
      </c>
      <c r="Z3" s="20">
        <f t="shared" si="0"/>
        <v>71</v>
      </c>
      <c r="AC3" s="13"/>
      <c r="AF3" s="14"/>
    </row>
    <row r="4" spans="1:32" x14ac:dyDescent="0.25">
      <c r="A4" s="6">
        <v>2025</v>
      </c>
      <c r="B4" s="7" t="s">
        <v>133</v>
      </c>
      <c r="C4" s="6">
        <v>1179138</v>
      </c>
      <c r="D4" s="6" t="s">
        <v>134</v>
      </c>
      <c r="E4" s="6" t="s">
        <v>26</v>
      </c>
      <c r="F4" s="16">
        <v>1103657</v>
      </c>
      <c r="G4" s="12" t="s">
        <v>135</v>
      </c>
      <c r="H4" s="6" t="s">
        <v>50</v>
      </c>
      <c r="I4" s="6" t="s">
        <v>29</v>
      </c>
      <c r="J4" s="6" t="s">
        <v>30</v>
      </c>
      <c r="K4" s="6" t="s">
        <v>43</v>
      </c>
      <c r="L4" s="6" t="s">
        <v>99</v>
      </c>
      <c r="M4" s="6" t="s">
        <v>44</v>
      </c>
      <c r="N4" s="6" t="s">
        <v>45</v>
      </c>
      <c r="O4" s="6" t="s">
        <v>46</v>
      </c>
      <c r="P4" s="8">
        <v>269</v>
      </c>
      <c r="Q4" s="8">
        <v>556.14310288293905</v>
      </c>
      <c r="R4" s="9">
        <v>45122</v>
      </c>
      <c r="S4" s="9">
        <v>45123</v>
      </c>
      <c r="T4" s="9">
        <v>45247</v>
      </c>
      <c r="U4" s="9">
        <v>45278</v>
      </c>
      <c r="V4" s="9">
        <v>45310</v>
      </c>
      <c r="W4" s="9">
        <v>45341</v>
      </c>
      <c r="X4" s="9">
        <v>45342</v>
      </c>
      <c r="Y4" s="10" t="s">
        <v>136</v>
      </c>
      <c r="Z4" s="20">
        <f t="shared" si="0"/>
        <v>70</v>
      </c>
      <c r="AC4" s="13"/>
      <c r="AF4" s="14"/>
    </row>
    <row r="5" spans="1:32" x14ac:dyDescent="0.25">
      <c r="A5" s="6">
        <v>2024</v>
      </c>
      <c r="B5" s="7" t="s">
        <v>55</v>
      </c>
      <c r="C5" s="6">
        <v>1093153</v>
      </c>
      <c r="D5" s="6" t="s">
        <v>181</v>
      </c>
      <c r="E5" s="6" t="s">
        <v>39</v>
      </c>
      <c r="F5" s="16">
        <v>19165</v>
      </c>
      <c r="G5" s="12" t="s">
        <v>182</v>
      </c>
      <c r="H5" s="6" t="s">
        <v>50</v>
      </c>
      <c r="I5" s="6" t="s">
        <v>179</v>
      </c>
      <c r="J5" s="6" t="s">
        <v>143</v>
      </c>
      <c r="K5" s="6" t="s">
        <v>51</v>
      </c>
      <c r="L5" s="6" t="s">
        <v>139</v>
      </c>
      <c r="M5" s="6" t="s">
        <v>52</v>
      </c>
      <c r="N5" s="6" t="s">
        <v>45</v>
      </c>
      <c r="O5" s="6" t="s">
        <v>183</v>
      </c>
      <c r="P5" s="8">
        <v>339</v>
      </c>
      <c r="Q5" s="8">
        <v>480.49577479308476</v>
      </c>
      <c r="R5" s="9">
        <v>45121</v>
      </c>
      <c r="S5" s="9">
        <v>45122</v>
      </c>
      <c r="T5" s="9">
        <v>45246</v>
      </c>
      <c r="U5" s="9">
        <v>45277</v>
      </c>
      <c r="V5" s="9">
        <v>45309</v>
      </c>
      <c r="W5" s="9">
        <v>45340</v>
      </c>
      <c r="X5" s="9">
        <v>45341</v>
      </c>
      <c r="Y5" s="10" t="s">
        <v>184</v>
      </c>
      <c r="Z5" s="20">
        <f t="shared" si="0"/>
        <v>69</v>
      </c>
      <c r="AC5" s="13"/>
      <c r="AF5" s="14"/>
    </row>
    <row r="6" spans="1:32" x14ac:dyDescent="0.25">
      <c r="A6" s="6">
        <v>2024</v>
      </c>
      <c r="B6" s="7" t="s">
        <v>94</v>
      </c>
      <c r="C6" s="6">
        <v>1097150</v>
      </c>
      <c r="D6" s="6" t="s">
        <v>271</v>
      </c>
      <c r="E6" s="6" t="s">
        <v>39</v>
      </c>
      <c r="F6" s="16">
        <v>1605831</v>
      </c>
      <c r="G6" s="12" t="s">
        <v>272</v>
      </c>
      <c r="H6" s="6" t="s">
        <v>28</v>
      </c>
      <c r="I6" s="6" t="s">
        <v>29</v>
      </c>
      <c r="J6" s="6" t="s">
        <v>42</v>
      </c>
      <c r="K6" s="6" t="s">
        <v>43</v>
      </c>
      <c r="L6" s="6" t="s">
        <v>205</v>
      </c>
      <c r="M6" s="6" t="s">
        <v>80</v>
      </c>
      <c r="N6" s="6" t="s">
        <v>86</v>
      </c>
      <c r="O6" s="6" t="s">
        <v>35</v>
      </c>
      <c r="P6" s="8">
        <v>40</v>
      </c>
      <c r="Q6" s="8">
        <v>1928.6767419357611</v>
      </c>
      <c r="R6" s="9">
        <v>45120</v>
      </c>
      <c r="S6" s="9">
        <v>45121</v>
      </c>
      <c r="T6" s="9">
        <v>45245</v>
      </c>
      <c r="U6" s="9">
        <v>45276</v>
      </c>
      <c r="V6" s="9">
        <v>45308</v>
      </c>
      <c r="W6" s="9">
        <v>45339</v>
      </c>
      <c r="X6" s="9">
        <v>45340</v>
      </c>
      <c r="Y6" s="10" t="s">
        <v>273</v>
      </c>
      <c r="Z6" s="20">
        <f t="shared" si="0"/>
        <v>68</v>
      </c>
      <c r="AC6" s="13"/>
      <c r="AF6" s="14"/>
    </row>
    <row r="7" spans="1:32" x14ac:dyDescent="0.25">
      <c r="A7" s="6">
        <v>2023</v>
      </c>
      <c r="B7" s="7" t="s">
        <v>60</v>
      </c>
      <c r="C7" s="6">
        <v>1148051</v>
      </c>
      <c r="D7" s="6" t="s">
        <v>267</v>
      </c>
      <c r="E7" s="6" t="s">
        <v>39</v>
      </c>
      <c r="F7" s="16">
        <v>781749</v>
      </c>
      <c r="G7" s="6" t="s">
        <v>126</v>
      </c>
      <c r="H7" s="6" t="s">
        <v>103</v>
      </c>
      <c r="I7" s="6" t="s">
        <v>29</v>
      </c>
      <c r="J7" s="6" t="s">
        <v>63</v>
      </c>
      <c r="K7" s="6" t="s">
        <v>51</v>
      </c>
      <c r="L7" s="6" t="s">
        <v>268</v>
      </c>
      <c r="M7" s="6" t="s">
        <v>52</v>
      </c>
      <c r="N7" s="6" t="s">
        <v>269</v>
      </c>
      <c r="O7" s="6" t="s">
        <v>35</v>
      </c>
      <c r="P7" s="8">
        <v>129</v>
      </c>
      <c r="Q7" s="8">
        <v>1742.1342008449089</v>
      </c>
      <c r="R7" s="9">
        <v>45119</v>
      </c>
      <c r="S7" s="9">
        <v>45120</v>
      </c>
      <c r="T7" s="9">
        <v>45244</v>
      </c>
      <c r="U7" s="9">
        <v>45275</v>
      </c>
      <c r="V7" s="9">
        <v>45307</v>
      </c>
      <c r="W7" s="9">
        <v>45338</v>
      </c>
      <c r="X7" s="9">
        <v>45339</v>
      </c>
      <c r="Y7" s="10" t="s">
        <v>270</v>
      </c>
      <c r="Z7" s="20">
        <f t="shared" si="0"/>
        <v>67</v>
      </c>
      <c r="AC7" s="13"/>
      <c r="AF7" s="14"/>
    </row>
    <row r="8" spans="1:32" x14ac:dyDescent="0.25">
      <c r="A8" s="6">
        <v>2023</v>
      </c>
      <c r="B8" s="7" t="s">
        <v>37</v>
      </c>
      <c r="C8" s="6">
        <v>1266200</v>
      </c>
      <c r="D8" s="6" t="s">
        <v>330</v>
      </c>
      <c r="E8" s="6" t="s">
        <v>26</v>
      </c>
      <c r="F8" s="16">
        <v>1069260</v>
      </c>
      <c r="G8" s="12" t="s">
        <v>331</v>
      </c>
      <c r="H8" s="6" t="s">
        <v>109</v>
      </c>
      <c r="I8" s="6" t="s">
        <v>29</v>
      </c>
      <c r="J8" s="6" t="s">
        <v>284</v>
      </c>
      <c r="K8" s="6" t="s">
        <v>43</v>
      </c>
      <c r="L8" s="6" t="s">
        <v>276</v>
      </c>
      <c r="M8" s="6" t="s">
        <v>33</v>
      </c>
      <c r="N8" s="6" t="s">
        <v>332</v>
      </c>
      <c r="O8" s="6" t="s">
        <v>183</v>
      </c>
      <c r="P8" s="8">
        <v>81</v>
      </c>
      <c r="Q8" s="8">
        <v>81.077453267533073</v>
      </c>
      <c r="R8" s="9">
        <v>45118</v>
      </c>
      <c r="S8" s="9">
        <v>45119</v>
      </c>
      <c r="T8" s="9">
        <v>45243</v>
      </c>
      <c r="U8" s="9">
        <v>45274</v>
      </c>
      <c r="V8" s="9">
        <v>45306</v>
      </c>
      <c r="W8" s="9">
        <v>45337</v>
      </c>
      <c r="X8" s="9">
        <v>45338</v>
      </c>
      <c r="Y8" s="10" t="s">
        <v>333</v>
      </c>
      <c r="Z8" s="20">
        <f t="shared" si="0"/>
        <v>66</v>
      </c>
      <c r="AC8" s="11"/>
      <c r="AF8" s="14"/>
    </row>
    <row r="9" spans="1:32" x14ac:dyDescent="0.25">
      <c r="A9" s="6">
        <v>2024</v>
      </c>
      <c r="B9" s="7" t="s">
        <v>133</v>
      </c>
      <c r="C9" s="6">
        <v>1109819</v>
      </c>
      <c r="D9" s="6" t="s">
        <v>264</v>
      </c>
      <c r="E9" s="6" t="s">
        <v>39</v>
      </c>
      <c r="F9" s="16">
        <v>2087922</v>
      </c>
      <c r="G9" s="12" t="s">
        <v>84</v>
      </c>
      <c r="H9" s="6" t="s">
        <v>41</v>
      </c>
      <c r="I9" s="6" t="s">
        <v>29</v>
      </c>
      <c r="J9" s="6" t="s">
        <v>63</v>
      </c>
      <c r="K9" s="6" t="s">
        <v>43</v>
      </c>
      <c r="L9" s="6" t="s">
        <v>205</v>
      </c>
      <c r="M9" s="6" t="s">
        <v>52</v>
      </c>
      <c r="N9" s="6" t="s">
        <v>265</v>
      </c>
      <c r="O9" s="6" t="s">
        <v>35</v>
      </c>
      <c r="P9" s="8">
        <v>72</v>
      </c>
      <c r="Q9" s="8">
        <v>1168.8911149445946</v>
      </c>
      <c r="R9" s="9">
        <v>45117</v>
      </c>
      <c r="S9" s="9">
        <v>45118</v>
      </c>
      <c r="T9" s="9">
        <v>45242</v>
      </c>
      <c r="U9" s="9">
        <v>45273</v>
      </c>
      <c r="V9" s="9">
        <v>45305</v>
      </c>
      <c r="W9" s="9">
        <v>45336</v>
      </c>
      <c r="X9" s="9">
        <v>45337</v>
      </c>
      <c r="Y9" s="10" t="s">
        <v>266</v>
      </c>
      <c r="Z9" s="20">
        <f t="shared" si="0"/>
        <v>65</v>
      </c>
      <c r="AF9" s="14"/>
    </row>
    <row r="10" spans="1:32" x14ac:dyDescent="0.25">
      <c r="A10" s="6">
        <v>2024</v>
      </c>
      <c r="B10" s="7" t="s">
        <v>75</v>
      </c>
      <c r="C10" s="6">
        <v>1262858</v>
      </c>
      <c r="D10" s="6" t="s">
        <v>130</v>
      </c>
      <c r="E10" s="6" t="s">
        <v>39</v>
      </c>
      <c r="F10" s="16">
        <v>1834727</v>
      </c>
      <c r="G10" s="6" t="s">
        <v>116</v>
      </c>
      <c r="H10" s="6" t="s">
        <v>97</v>
      </c>
      <c r="I10" s="6" t="s">
        <v>29</v>
      </c>
      <c r="J10" s="6" t="s">
        <v>131</v>
      </c>
      <c r="K10" s="6" t="s">
        <v>43</v>
      </c>
      <c r="L10" s="6" t="s">
        <v>99</v>
      </c>
      <c r="M10" s="6" t="s">
        <v>33</v>
      </c>
      <c r="N10" s="6" t="s">
        <v>128</v>
      </c>
      <c r="O10" s="6" t="s">
        <v>35</v>
      </c>
      <c r="P10" s="8">
        <v>361</v>
      </c>
      <c r="Q10" s="8">
        <v>2146.4394662430682</v>
      </c>
      <c r="R10" s="9">
        <v>45116</v>
      </c>
      <c r="S10" s="9">
        <v>45117</v>
      </c>
      <c r="T10" s="9">
        <v>45241</v>
      </c>
      <c r="U10" s="9">
        <v>45272</v>
      </c>
      <c r="V10" s="9">
        <v>45304</v>
      </c>
      <c r="W10" s="9">
        <v>45335</v>
      </c>
      <c r="X10" s="9">
        <v>45336</v>
      </c>
      <c r="Y10" s="10" t="s">
        <v>132</v>
      </c>
      <c r="Z10" s="20">
        <f t="shared" si="0"/>
        <v>64</v>
      </c>
      <c r="AF10" s="14"/>
    </row>
    <row r="11" spans="1:32" x14ac:dyDescent="0.25">
      <c r="A11" s="6">
        <v>2024</v>
      </c>
      <c r="B11" s="7" t="s">
        <v>202</v>
      </c>
      <c r="C11" s="6">
        <v>1156107</v>
      </c>
      <c r="D11" s="6" t="s">
        <v>327</v>
      </c>
      <c r="E11" s="6" t="s">
        <v>39</v>
      </c>
      <c r="F11" s="16">
        <v>787311</v>
      </c>
      <c r="G11" s="12" t="s">
        <v>328</v>
      </c>
      <c r="H11" s="6" t="s">
        <v>103</v>
      </c>
      <c r="I11" s="6" t="s">
        <v>179</v>
      </c>
      <c r="J11" s="6" t="s">
        <v>98</v>
      </c>
      <c r="K11" s="6" t="s">
        <v>31</v>
      </c>
      <c r="L11" s="6" t="s">
        <v>276</v>
      </c>
      <c r="M11" s="6" t="s">
        <v>44</v>
      </c>
      <c r="N11" s="6" t="s">
        <v>159</v>
      </c>
      <c r="O11" s="6" t="s">
        <v>183</v>
      </c>
      <c r="P11" s="8">
        <v>74</v>
      </c>
      <c r="Q11" s="8">
        <v>683.34974336307641</v>
      </c>
      <c r="R11" s="9">
        <v>45115</v>
      </c>
      <c r="S11" s="9">
        <v>45116</v>
      </c>
      <c r="T11" s="9">
        <v>45240</v>
      </c>
      <c r="U11" s="9">
        <v>45271</v>
      </c>
      <c r="V11" s="9">
        <v>45303</v>
      </c>
      <c r="W11" s="9">
        <v>45334</v>
      </c>
      <c r="X11" s="9">
        <v>45335</v>
      </c>
      <c r="Y11" s="10" t="s">
        <v>329</v>
      </c>
      <c r="Z11" s="20">
        <f t="shared" si="0"/>
        <v>63</v>
      </c>
      <c r="AF11" s="14"/>
    </row>
    <row r="12" spans="1:32" x14ac:dyDescent="0.25">
      <c r="A12" s="6">
        <v>2025</v>
      </c>
      <c r="B12" s="7" t="s">
        <v>37</v>
      </c>
      <c r="C12" s="6">
        <v>1078298</v>
      </c>
      <c r="D12" s="6" t="s">
        <v>177</v>
      </c>
      <c r="E12" s="6" t="s">
        <v>39</v>
      </c>
      <c r="F12" s="16">
        <v>147850</v>
      </c>
      <c r="G12" s="6" t="s">
        <v>178</v>
      </c>
      <c r="H12" s="6" t="s">
        <v>50</v>
      </c>
      <c r="I12" s="6" t="s">
        <v>179</v>
      </c>
      <c r="J12" s="6" t="s">
        <v>91</v>
      </c>
      <c r="K12" s="6" t="s">
        <v>64</v>
      </c>
      <c r="L12" s="6" t="s">
        <v>139</v>
      </c>
      <c r="M12" s="6" t="s">
        <v>33</v>
      </c>
      <c r="N12" s="6" t="s">
        <v>72</v>
      </c>
      <c r="O12" s="6" t="s">
        <v>35</v>
      </c>
      <c r="P12" s="8">
        <v>348</v>
      </c>
      <c r="Q12" s="8">
        <v>175.50277022347149</v>
      </c>
      <c r="R12" s="9">
        <v>45114</v>
      </c>
      <c r="S12" s="9">
        <v>45115</v>
      </c>
      <c r="T12" s="9">
        <v>45239</v>
      </c>
      <c r="U12" s="9">
        <v>45270</v>
      </c>
      <c r="V12" s="9">
        <v>45302</v>
      </c>
      <c r="W12" s="9">
        <v>45333</v>
      </c>
      <c r="X12" s="9">
        <v>45334</v>
      </c>
      <c r="Y12" s="10" t="s">
        <v>180</v>
      </c>
      <c r="Z12" s="20">
        <f t="shared" si="0"/>
        <v>62</v>
      </c>
      <c r="AF12" s="14"/>
    </row>
    <row r="13" spans="1:32" x14ac:dyDescent="0.25">
      <c r="A13" s="6">
        <v>2025</v>
      </c>
      <c r="B13" s="7" t="s">
        <v>60</v>
      </c>
      <c r="C13" s="6">
        <v>1159126</v>
      </c>
      <c r="D13" s="6" t="s">
        <v>324</v>
      </c>
      <c r="E13" s="6" t="s">
        <v>26</v>
      </c>
      <c r="F13" s="16">
        <v>100345</v>
      </c>
      <c r="G13" s="12" t="s">
        <v>325</v>
      </c>
      <c r="H13" s="6" t="s">
        <v>109</v>
      </c>
      <c r="I13" s="6" t="s">
        <v>70</v>
      </c>
      <c r="J13" s="6" t="s">
        <v>30</v>
      </c>
      <c r="K13" s="6" t="s">
        <v>31</v>
      </c>
      <c r="L13" s="6" t="s">
        <v>276</v>
      </c>
      <c r="M13" s="6" t="s">
        <v>33</v>
      </c>
      <c r="N13" s="6" t="s">
        <v>314</v>
      </c>
      <c r="O13" s="6" t="s">
        <v>297</v>
      </c>
      <c r="P13" s="8">
        <v>187</v>
      </c>
      <c r="Q13" s="8">
        <v>407.24774436537365</v>
      </c>
      <c r="R13" s="9">
        <v>45113</v>
      </c>
      <c r="S13" s="9">
        <v>45114</v>
      </c>
      <c r="T13" s="9">
        <v>45238</v>
      </c>
      <c r="U13" s="9">
        <v>45269</v>
      </c>
      <c r="V13" s="9">
        <v>45301</v>
      </c>
      <c r="W13" s="9">
        <v>45332</v>
      </c>
      <c r="X13" s="9">
        <v>45333</v>
      </c>
      <c r="Y13" s="10" t="s">
        <v>326</v>
      </c>
      <c r="Z13" s="20">
        <f t="shared" si="0"/>
        <v>61</v>
      </c>
      <c r="AF13" s="14"/>
    </row>
    <row r="14" spans="1:32" x14ac:dyDescent="0.25">
      <c r="A14" s="6">
        <v>2023</v>
      </c>
      <c r="B14" s="7" t="s">
        <v>67</v>
      </c>
      <c r="C14" s="6">
        <v>1020142</v>
      </c>
      <c r="D14" s="6" t="s">
        <v>259</v>
      </c>
      <c r="E14" s="6" t="s">
        <v>39</v>
      </c>
      <c r="F14" s="16">
        <v>622447</v>
      </c>
      <c r="G14" s="12" t="s">
        <v>260</v>
      </c>
      <c r="H14" s="6" t="s">
        <v>103</v>
      </c>
      <c r="I14" s="6" t="s">
        <v>29</v>
      </c>
      <c r="J14" s="6" t="s">
        <v>58</v>
      </c>
      <c r="K14" s="6" t="s">
        <v>51</v>
      </c>
      <c r="L14" s="6" t="s">
        <v>261</v>
      </c>
      <c r="M14" s="6" t="s">
        <v>71</v>
      </c>
      <c r="N14" s="6" t="s">
        <v>262</v>
      </c>
      <c r="O14" s="6" t="s">
        <v>183</v>
      </c>
      <c r="P14" s="8">
        <v>162</v>
      </c>
      <c r="Q14" s="8">
        <v>506.42999846390745</v>
      </c>
      <c r="R14" s="9">
        <v>45112</v>
      </c>
      <c r="S14" s="9">
        <v>45113</v>
      </c>
      <c r="T14" s="9">
        <v>45237</v>
      </c>
      <c r="U14" s="9">
        <v>45268</v>
      </c>
      <c r="V14" s="9">
        <v>45300</v>
      </c>
      <c r="W14" s="9">
        <v>45331</v>
      </c>
      <c r="X14" s="9">
        <v>45332</v>
      </c>
      <c r="Y14" s="10" t="s">
        <v>263</v>
      </c>
      <c r="Z14" s="20">
        <f t="shared" si="0"/>
        <v>60</v>
      </c>
      <c r="AF14" s="14"/>
    </row>
    <row r="15" spans="1:32" x14ac:dyDescent="0.25">
      <c r="A15" s="6">
        <v>2023</v>
      </c>
      <c r="B15" s="7" t="s">
        <v>24</v>
      </c>
      <c r="C15" s="6">
        <v>1080464</v>
      </c>
      <c r="D15" s="6" t="s">
        <v>174</v>
      </c>
      <c r="E15" s="6" t="s">
        <v>39</v>
      </c>
      <c r="F15" s="16">
        <v>2006035</v>
      </c>
      <c r="G15" s="12" t="s">
        <v>175</v>
      </c>
      <c r="H15" s="6" t="s">
        <v>41</v>
      </c>
      <c r="I15" s="6" t="s">
        <v>29</v>
      </c>
      <c r="J15" s="6" t="s">
        <v>63</v>
      </c>
      <c r="K15" s="6" t="s">
        <v>43</v>
      </c>
      <c r="L15" s="6" t="s">
        <v>139</v>
      </c>
      <c r="M15" s="6" t="s">
        <v>44</v>
      </c>
      <c r="N15" s="6" t="s">
        <v>34</v>
      </c>
      <c r="O15" s="6" t="s">
        <v>35</v>
      </c>
      <c r="P15" s="8">
        <v>192</v>
      </c>
      <c r="Q15" s="8">
        <v>535.01336438347414</v>
      </c>
      <c r="R15" s="9">
        <v>45111</v>
      </c>
      <c r="S15" s="9">
        <v>45112</v>
      </c>
      <c r="T15" s="9">
        <v>45236</v>
      </c>
      <c r="U15" s="9">
        <v>45267</v>
      </c>
      <c r="V15" s="9">
        <v>45299</v>
      </c>
      <c r="W15" s="9">
        <v>45330</v>
      </c>
      <c r="X15" s="9">
        <v>45331</v>
      </c>
      <c r="Y15" s="10" t="s">
        <v>176</v>
      </c>
      <c r="Z15" s="20">
        <f t="shared" si="0"/>
        <v>59</v>
      </c>
      <c r="AF15" s="14"/>
    </row>
    <row r="16" spans="1:32" x14ac:dyDescent="0.25">
      <c r="A16" s="6">
        <v>2024</v>
      </c>
      <c r="B16" s="7" t="s">
        <v>94</v>
      </c>
      <c r="C16" s="6">
        <v>1162318</v>
      </c>
      <c r="D16" s="6" t="s">
        <v>256</v>
      </c>
      <c r="E16" s="6" t="s">
        <v>39</v>
      </c>
      <c r="F16" s="16">
        <v>615544</v>
      </c>
      <c r="G16" s="12" t="s">
        <v>90</v>
      </c>
      <c r="H16" s="6" t="s">
        <v>78</v>
      </c>
      <c r="I16" s="6" t="s">
        <v>29</v>
      </c>
      <c r="J16" s="6" t="s">
        <v>30</v>
      </c>
      <c r="K16" s="6" t="s">
        <v>51</v>
      </c>
      <c r="L16" s="6" t="s">
        <v>205</v>
      </c>
      <c r="M16" s="6" t="s">
        <v>80</v>
      </c>
      <c r="N16" s="6" t="s">
        <v>257</v>
      </c>
      <c r="O16" s="6" t="s">
        <v>35</v>
      </c>
      <c r="P16" s="8">
        <v>255</v>
      </c>
      <c r="Q16" s="8">
        <v>64.353348411646962</v>
      </c>
      <c r="R16" s="9">
        <v>45110</v>
      </c>
      <c r="S16" s="9">
        <v>45111</v>
      </c>
      <c r="T16" s="9">
        <v>45235</v>
      </c>
      <c r="U16" s="9">
        <v>45266</v>
      </c>
      <c r="V16" s="9">
        <v>45298</v>
      </c>
      <c r="W16" s="9">
        <v>45329</v>
      </c>
      <c r="X16" s="9">
        <v>45330</v>
      </c>
      <c r="Y16" s="10" t="s">
        <v>258</v>
      </c>
      <c r="Z16" s="20">
        <f t="shared" si="0"/>
        <v>58</v>
      </c>
      <c r="AF16" s="14"/>
    </row>
    <row r="17" spans="1:32" x14ac:dyDescent="0.25">
      <c r="A17" s="6">
        <v>2023</v>
      </c>
      <c r="B17" s="7" t="s">
        <v>67</v>
      </c>
      <c r="C17" s="6">
        <v>1142784</v>
      </c>
      <c r="D17" s="6" t="s">
        <v>319</v>
      </c>
      <c r="E17" s="6" t="s">
        <v>39</v>
      </c>
      <c r="F17" s="16">
        <v>1939802</v>
      </c>
      <c r="G17" s="12" t="s">
        <v>320</v>
      </c>
      <c r="H17" s="6" t="s">
        <v>109</v>
      </c>
      <c r="I17" s="6" t="s">
        <v>29</v>
      </c>
      <c r="J17" s="6" t="s">
        <v>79</v>
      </c>
      <c r="K17" s="6" t="s">
        <v>43</v>
      </c>
      <c r="L17" s="6" t="s">
        <v>276</v>
      </c>
      <c r="M17" s="6" t="s">
        <v>80</v>
      </c>
      <c r="N17" s="6" t="s">
        <v>321</v>
      </c>
      <c r="O17" s="6" t="s">
        <v>322</v>
      </c>
      <c r="P17" s="8">
        <v>40</v>
      </c>
      <c r="Q17" s="8">
        <v>257.96585668397404</v>
      </c>
      <c r="R17" s="9">
        <v>45109</v>
      </c>
      <c r="S17" s="9">
        <v>45110</v>
      </c>
      <c r="T17" s="9">
        <v>45234</v>
      </c>
      <c r="U17" s="9">
        <v>45265</v>
      </c>
      <c r="V17" s="9">
        <v>45297</v>
      </c>
      <c r="W17" s="9">
        <v>45328</v>
      </c>
      <c r="X17" s="9">
        <v>45329</v>
      </c>
      <c r="Y17" s="10" t="s">
        <v>323</v>
      </c>
      <c r="Z17" s="20">
        <f t="shared" si="0"/>
        <v>57</v>
      </c>
      <c r="AF17" s="14"/>
    </row>
    <row r="18" spans="1:32" x14ac:dyDescent="0.25">
      <c r="A18" s="6">
        <v>2024</v>
      </c>
      <c r="B18" s="7" t="s">
        <v>161</v>
      </c>
      <c r="C18" s="6">
        <v>1159114</v>
      </c>
      <c r="D18" s="6" t="s">
        <v>252</v>
      </c>
      <c r="E18" s="6" t="s">
        <v>26</v>
      </c>
      <c r="F18" s="16">
        <v>1631076</v>
      </c>
      <c r="G18" s="12" t="s">
        <v>253</v>
      </c>
      <c r="H18" s="6" t="s">
        <v>28</v>
      </c>
      <c r="I18" s="6" t="s">
        <v>29</v>
      </c>
      <c r="J18" s="6" t="s">
        <v>30</v>
      </c>
      <c r="K18" s="6" t="s">
        <v>43</v>
      </c>
      <c r="L18" s="6" t="s">
        <v>205</v>
      </c>
      <c r="M18" s="6" t="s">
        <v>80</v>
      </c>
      <c r="N18" s="6" t="s">
        <v>254</v>
      </c>
      <c r="O18" s="6" t="s">
        <v>183</v>
      </c>
      <c r="P18" s="8">
        <v>225</v>
      </c>
      <c r="Q18" s="8">
        <v>1671.1463657911445</v>
      </c>
      <c r="R18" s="9">
        <v>45108</v>
      </c>
      <c r="S18" s="9">
        <v>45109</v>
      </c>
      <c r="T18" s="9">
        <v>45233</v>
      </c>
      <c r="U18" s="9">
        <v>45264</v>
      </c>
      <c r="V18" s="9">
        <v>45296</v>
      </c>
      <c r="W18" s="9">
        <v>45327</v>
      </c>
      <c r="X18" s="9">
        <v>45328</v>
      </c>
      <c r="Y18" s="10" t="s">
        <v>255</v>
      </c>
      <c r="Z18" s="20">
        <f t="shared" si="0"/>
        <v>56</v>
      </c>
      <c r="AF18" s="14"/>
    </row>
    <row r="19" spans="1:32" x14ac:dyDescent="0.25">
      <c r="A19" s="6">
        <v>2023</v>
      </c>
      <c r="B19" s="7" t="s">
        <v>48</v>
      </c>
      <c r="C19" s="6">
        <v>1115640</v>
      </c>
      <c r="D19" s="6" t="s">
        <v>125</v>
      </c>
      <c r="E19" s="6" t="s">
        <v>39</v>
      </c>
      <c r="F19" s="16">
        <v>144333</v>
      </c>
      <c r="G19" s="12" t="s">
        <v>126</v>
      </c>
      <c r="H19" s="6" t="s">
        <v>97</v>
      </c>
      <c r="I19" s="6" t="s">
        <v>29</v>
      </c>
      <c r="J19" s="6" t="s">
        <v>127</v>
      </c>
      <c r="K19" s="6" t="s">
        <v>64</v>
      </c>
      <c r="L19" s="6" t="s">
        <v>99</v>
      </c>
      <c r="M19" s="6" t="s">
        <v>44</v>
      </c>
      <c r="N19" s="6" t="s">
        <v>128</v>
      </c>
      <c r="O19" s="6" t="s">
        <v>35</v>
      </c>
      <c r="P19" s="8">
        <v>56</v>
      </c>
      <c r="Q19" s="8">
        <v>1869.7737907039868</v>
      </c>
      <c r="R19" s="9">
        <v>45107</v>
      </c>
      <c r="S19" s="9">
        <v>45108</v>
      </c>
      <c r="T19" s="9">
        <v>45232</v>
      </c>
      <c r="U19" s="9">
        <v>45263</v>
      </c>
      <c r="V19" s="9">
        <v>45295</v>
      </c>
      <c r="W19" s="9">
        <v>45326</v>
      </c>
      <c r="X19" s="9">
        <v>45327</v>
      </c>
      <c r="Y19" s="10" t="s">
        <v>129</v>
      </c>
      <c r="Z19" s="20">
        <f t="shared" si="0"/>
        <v>55</v>
      </c>
      <c r="AF19" s="14"/>
    </row>
    <row r="20" spans="1:32" x14ac:dyDescent="0.25">
      <c r="A20" s="6">
        <v>2025</v>
      </c>
      <c r="B20" s="7" t="s">
        <v>161</v>
      </c>
      <c r="C20" s="6">
        <v>1159144</v>
      </c>
      <c r="D20" s="6" t="s">
        <v>170</v>
      </c>
      <c r="E20" s="6" t="s">
        <v>26</v>
      </c>
      <c r="F20" s="16">
        <v>1291996</v>
      </c>
      <c r="G20" s="12" t="s">
        <v>171</v>
      </c>
      <c r="H20" s="6" t="s">
        <v>97</v>
      </c>
      <c r="I20" s="6" t="s">
        <v>29</v>
      </c>
      <c r="J20" s="6" t="s">
        <v>30</v>
      </c>
      <c r="K20" s="6" t="s">
        <v>43</v>
      </c>
      <c r="L20" s="6" t="s">
        <v>139</v>
      </c>
      <c r="M20" s="6" t="s">
        <v>33</v>
      </c>
      <c r="N20" s="6" t="s">
        <v>172</v>
      </c>
      <c r="O20" s="6" t="s">
        <v>35</v>
      </c>
      <c r="P20" s="8">
        <v>63</v>
      </c>
      <c r="Q20" s="8">
        <v>1003.4668457550903</v>
      </c>
      <c r="R20" s="9">
        <v>45106</v>
      </c>
      <c r="S20" s="9">
        <v>45107</v>
      </c>
      <c r="T20" s="9">
        <v>45231</v>
      </c>
      <c r="U20" s="9">
        <v>45262</v>
      </c>
      <c r="V20" s="9">
        <v>45294</v>
      </c>
      <c r="W20" s="9">
        <v>45325</v>
      </c>
      <c r="X20" s="9">
        <v>45326</v>
      </c>
      <c r="Y20" s="10" t="s">
        <v>173</v>
      </c>
      <c r="Z20" s="20">
        <f t="shared" si="0"/>
        <v>54</v>
      </c>
      <c r="AF20" s="14"/>
    </row>
    <row r="21" spans="1:32" x14ac:dyDescent="0.25">
      <c r="A21" s="6">
        <v>2023</v>
      </c>
      <c r="B21" s="7" t="s">
        <v>48</v>
      </c>
      <c r="C21" s="6">
        <v>1295673</v>
      </c>
      <c r="D21" s="6" t="s">
        <v>316</v>
      </c>
      <c r="E21" s="6" t="s">
        <v>39</v>
      </c>
      <c r="F21" s="16">
        <v>1175427</v>
      </c>
      <c r="G21" s="12" t="s">
        <v>317</v>
      </c>
      <c r="H21" s="6" t="s">
        <v>103</v>
      </c>
      <c r="I21" s="6" t="s">
        <v>29</v>
      </c>
      <c r="J21" s="6" t="s">
        <v>98</v>
      </c>
      <c r="K21" s="6" t="s">
        <v>43</v>
      </c>
      <c r="L21" s="6" t="s">
        <v>276</v>
      </c>
      <c r="M21" s="6" t="s">
        <v>33</v>
      </c>
      <c r="N21" s="6" t="s">
        <v>72</v>
      </c>
      <c r="O21" s="6" t="s">
        <v>35</v>
      </c>
      <c r="P21" s="8">
        <v>78</v>
      </c>
      <c r="Q21" s="8">
        <v>934.77049543716464</v>
      </c>
      <c r="R21" s="9">
        <v>45105</v>
      </c>
      <c r="S21" s="9">
        <v>45106</v>
      </c>
      <c r="T21" s="9">
        <v>45230</v>
      </c>
      <c r="U21" s="9">
        <v>45261</v>
      </c>
      <c r="V21" s="9">
        <v>45293</v>
      </c>
      <c r="W21" s="9">
        <v>45324</v>
      </c>
      <c r="X21" s="9">
        <v>45325</v>
      </c>
      <c r="Y21" s="10" t="s">
        <v>318</v>
      </c>
      <c r="Z21" s="20">
        <f t="shared" si="0"/>
        <v>53</v>
      </c>
      <c r="AF21" s="14"/>
    </row>
    <row r="22" spans="1:32" x14ac:dyDescent="0.25">
      <c r="A22" s="6">
        <v>2024</v>
      </c>
      <c r="B22" s="7" t="s">
        <v>88</v>
      </c>
      <c r="C22" s="6">
        <v>988245</v>
      </c>
      <c r="D22" s="6" t="s">
        <v>249</v>
      </c>
      <c r="E22" s="6" t="s">
        <v>39</v>
      </c>
      <c r="F22" s="16">
        <v>202440</v>
      </c>
      <c r="G22" s="6" t="s">
        <v>204</v>
      </c>
      <c r="H22" s="6" t="s">
        <v>28</v>
      </c>
      <c r="I22" s="6" t="s">
        <v>29</v>
      </c>
      <c r="J22" s="6" t="s">
        <v>30</v>
      </c>
      <c r="K22" s="6" t="s">
        <v>51</v>
      </c>
      <c r="L22" s="6" t="s">
        <v>205</v>
      </c>
      <c r="M22" s="6" t="s">
        <v>33</v>
      </c>
      <c r="N22" s="6" t="s">
        <v>250</v>
      </c>
      <c r="O22" s="6" t="s">
        <v>35</v>
      </c>
      <c r="P22" s="8">
        <v>221</v>
      </c>
      <c r="Q22" s="8">
        <v>229.73274154813265</v>
      </c>
      <c r="R22" s="9">
        <v>45104</v>
      </c>
      <c r="S22" s="9">
        <v>45105</v>
      </c>
      <c r="T22" s="9">
        <v>45229</v>
      </c>
      <c r="U22" s="9">
        <v>45260</v>
      </c>
      <c r="V22" s="9">
        <v>45292</v>
      </c>
      <c r="W22" s="9">
        <v>45323</v>
      </c>
      <c r="X22" s="9">
        <v>45324</v>
      </c>
      <c r="Y22" s="10" t="s">
        <v>251</v>
      </c>
      <c r="Z22" s="20">
        <f t="shared" si="0"/>
        <v>52</v>
      </c>
      <c r="AF22" s="14"/>
    </row>
    <row r="23" spans="1:32" x14ac:dyDescent="0.25">
      <c r="A23" s="6">
        <v>2024</v>
      </c>
      <c r="B23" s="7" t="s">
        <v>88</v>
      </c>
      <c r="C23" s="6">
        <v>1141994</v>
      </c>
      <c r="D23" s="6" t="s">
        <v>312</v>
      </c>
      <c r="E23" s="6" t="s">
        <v>39</v>
      </c>
      <c r="F23" s="16">
        <v>2100300</v>
      </c>
      <c r="G23" s="12" t="s">
        <v>313</v>
      </c>
      <c r="H23" s="6" t="s">
        <v>103</v>
      </c>
      <c r="I23" s="6" t="s">
        <v>70</v>
      </c>
      <c r="J23" s="6" t="s">
        <v>85</v>
      </c>
      <c r="K23" s="6" t="s">
        <v>64</v>
      </c>
      <c r="L23" s="6" t="s">
        <v>276</v>
      </c>
      <c r="M23" s="6" t="s">
        <v>71</v>
      </c>
      <c r="N23" s="6" t="s">
        <v>314</v>
      </c>
      <c r="O23" s="6" t="s">
        <v>35</v>
      </c>
      <c r="P23" s="8">
        <v>157</v>
      </c>
      <c r="Q23" s="8">
        <v>1144.4193127749793</v>
      </c>
      <c r="R23" s="9">
        <v>45103</v>
      </c>
      <c r="S23" s="9">
        <v>45104</v>
      </c>
      <c r="T23" s="9">
        <v>45228</v>
      </c>
      <c r="U23" s="9">
        <v>45259</v>
      </c>
      <c r="V23" s="9">
        <v>45291</v>
      </c>
      <c r="W23" s="9">
        <v>45322</v>
      </c>
      <c r="X23" s="9">
        <v>45323</v>
      </c>
      <c r="Y23" s="10" t="s">
        <v>315</v>
      </c>
      <c r="Z23" s="20">
        <f t="shared" si="0"/>
        <v>51</v>
      </c>
      <c r="AF23" s="14"/>
    </row>
    <row r="24" spans="1:32" x14ac:dyDescent="0.25">
      <c r="A24" s="6">
        <v>2024</v>
      </c>
      <c r="B24" s="7" t="s">
        <v>55</v>
      </c>
      <c r="C24" s="6">
        <v>1097241</v>
      </c>
      <c r="D24" s="6" t="s">
        <v>166</v>
      </c>
      <c r="E24" s="6" t="s">
        <v>26</v>
      </c>
      <c r="F24" s="16">
        <v>808678</v>
      </c>
      <c r="G24" s="6" t="s">
        <v>167</v>
      </c>
      <c r="H24" s="6" t="s">
        <v>103</v>
      </c>
      <c r="I24" s="6" t="s">
        <v>70</v>
      </c>
      <c r="J24" s="6" t="s">
        <v>30</v>
      </c>
      <c r="K24" s="6" t="s">
        <v>51</v>
      </c>
      <c r="L24" s="6" t="s">
        <v>139</v>
      </c>
      <c r="M24" s="6" t="s">
        <v>71</v>
      </c>
      <c r="N24" s="6" t="s">
        <v>123</v>
      </c>
      <c r="O24" s="6" t="s">
        <v>168</v>
      </c>
      <c r="P24" s="8">
        <v>170</v>
      </c>
      <c r="Q24" s="8">
        <v>1863.3327297838277</v>
      </c>
      <c r="R24" s="9">
        <v>45102</v>
      </c>
      <c r="S24" s="9">
        <v>45103</v>
      </c>
      <c r="T24" s="9">
        <v>45227</v>
      </c>
      <c r="U24" s="9">
        <v>45258</v>
      </c>
      <c r="V24" s="9">
        <v>45290</v>
      </c>
      <c r="W24" s="9">
        <v>45321</v>
      </c>
      <c r="X24" s="9">
        <v>45322</v>
      </c>
      <c r="Y24" s="10" t="s">
        <v>169</v>
      </c>
      <c r="Z24" s="20">
        <f t="shared" si="0"/>
        <v>50</v>
      </c>
      <c r="AF24" s="14"/>
    </row>
    <row r="25" spans="1:32" x14ac:dyDescent="0.25">
      <c r="A25" s="6">
        <v>2024</v>
      </c>
      <c r="B25" s="7" t="s">
        <v>37</v>
      </c>
      <c r="C25" s="6">
        <v>1097224</v>
      </c>
      <c r="D25" s="6" t="s">
        <v>83</v>
      </c>
      <c r="E25" s="6" t="s">
        <v>39</v>
      </c>
      <c r="F25" s="16">
        <v>1836511</v>
      </c>
      <c r="G25" s="6" t="s">
        <v>84</v>
      </c>
      <c r="H25" s="6" t="s">
        <v>28</v>
      </c>
      <c r="I25" s="6" t="s">
        <v>70</v>
      </c>
      <c r="J25" s="6" t="s">
        <v>85</v>
      </c>
      <c r="K25" s="6" t="s">
        <v>51</v>
      </c>
      <c r="L25" s="6" t="s">
        <v>32</v>
      </c>
      <c r="M25" s="6" t="s">
        <v>80</v>
      </c>
      <c r="N25" s="6" t="s">
        <v>86</v>
      </c>
      <c r="O25" s="6" t="s">
        <v>35</v>
      </c>
      <c r="P25" s="8">
        <v>56</v>
      </c>
      <c r="Q25" s="8">
        <v>1927.81011332669</v>
      </c>
      <c r="R25" s="9">
        <v>45101</v>
      </c>
      <c r="S25" s="9">
        <v>45102</v>
      </c>
      <c r="T25" s="9">
        <v>45226</v>
      </c>
      <c r="U25" s="9">
        <v>45257</v>
      </c>
      <c r="V25" s="9">
        <v>45289</v>
      </c>
      <c r="W25" s="9">
        <v>45320</v>
      </c>
      <c r="X25" s="9">
        <v>45321</v>
      </c>
      <c r="Y25" s="10" t="s">
        <v>87</v>
      </c>
      <c r="Z25" s="20">
        <f t="shared" si="0"/>
        <v>49</v>
      </c>
      <c r="AF25" s="14"/>
    </row>
    <row r="26" spans="1:32" x14ac:dyDescent="0.25">
      <c r="A26" s="6">
        <v>2024</v>
      </c>
      <c r="B26" s="7" t="s">
        <v>75</v>
      </c>
      <c r="C26" s="6">
        <v>1082321</v>
      </c>
      <c r="D26" s="6" t="s">
        <v>76</v>
      </c>
      <c r="E26" s="6" t="s">
        <v>39</v>
      </c>
      <c r="F26" s="16">
        <v>966555</v>
      </c>
      <c r="G26" s="12" t="s">
        <v>77</v>
      </c>
      <c r="H26" s="6" t="s">
        <v>78</v>
      </c>
      <c r="I26" s="6" t="s">
        <v>29</v>
      </c>
      <c r="J26" s="6" t="s">
        <v>79</v>
      </c>
      <c r="K26" s="6" t="s">
        <v>64</v>
      </c>
      <c r="L26" s="6" t="s">
        <v>32</v>
      </c>
      <c r="M26" s="6" t="s">
        <v>80</v>
      </c>
      <c r="N26" s="6" t="s">
        <v>81</v>
      </c>
      <c r="O26" s="6" t="s">
        <v>35</v>
      </c>
      <c r="P26" s="8">
        <v>245</v>
      </c>
      <c r="Q26" s="8">
        <v>1952.5213586158916</v>
      </c>
      <c r="R26" s="9">
        <v>45100</v>
      </c>
      <c r="S26" s="9">
        <v>45101</v>
      </c>
      <c r="T26" s="9">
        <v>45225</v>
      </c>
      <c r="U26" s="9">
        <v>45256</v>
      </c>
      <c r="V26" s="9">
        <v>45288</v>
      </c>
      <c r="W26" s="9">
        <v>45319</v>
      </c>
      <c r="X26" s="9">
        <v>45320</v>
      </c>
      <c r="Y26" s="10" t="s">
        <v>82</v>
      </c>
      <c r="Z26" s="20">
        <f t="shared" si="0"/>
        <v>48</v>
      </c>
      <c r="AF26" s="14"/>
    </row>
    <row r="27" spans="1:32" x14ac:dyDescent="0.25">
      <c r="A27" s="6">
        <v>2023</v>
      </c>
      <c r="B27" s="7" t="s">
        <v>161</v>
      </c>
      <c r="C27" s="6">
        <v>1142401</v>
      </c>
      <c r="D27" s="6" t="s">
        <v>162</v>
      </c>
      <c r="E27" s="6" t="s">
        <v>39</v>
      </c>
      <c r="F27" s="16">
        <v>154354</v>
      </c>
      <c r="G27" s="12" t="s">
        <v>163</v>
      </c>
      <c r="H27" s="6" t="s">
        <v>97</v>
      </c>
      <c r="I27" s="6" t="s">
        <v>29</v>
      </c>
      <c r="J27" s="6" t="s">
        <v>79</v>
      </c>
      <c r="K27" s="6" t="s">
        <v>51</v>
      </c>
      <c r="L27" s="6" t="s">
        <v>139</v>
      </c>
      <c r="M27" s="6" t="s">
        <v>144</v>
      </c>
      <c r="N27" s="6" t="s">
        <v>164</v>
      </c>
      <c r="O27" s="6" t="s">
        <v>46</v>
      </c>
      <c r="P27" s="8">
        <v>39</v>
      </c>
      <c r="Q27" s="8">
        <v>449.35933134310818</v>
      </c>
      <c r="R27" s="9">
        <v>45099</v>
      </c>
      <c r="S27" s="9">
        <v>45100</v>
      </c>
      <c r="T27" s="9">
        <v>45224</v>
      </c>
      <c r="U27" s="9">
        <v>45255</v>
      </c>
      <c r="V27" s="9">
        <v>45287</v>
      </c>
      <c r="W27" s="9">
        <v>45318</v>
      </c>
      <c r="X27" s="9">
        <v>45319</v>
      </c>
      <c r="Y27" s="10" t="s">
        <v>165</v>
      </c>
      <c r="Z27" s="20">
        <f t="shared" si="0"/>
        <v>47</v>
      </c>
      <c r="AF27" s="14"/>
    </row>
    <row r="28" spans="1:32" x14ac:dyDescent="0.25">
      <c r="A28" s="6">
        <v>2025</v>
      </c>
      <c r="B28" s="7" t="s">
        <v>67</v>
      </c>
      <c r="C28" s="6">
        <v>1236730</v>
      </c>
      <c r="D28" s="6" t="s">
        <v>194</v>
      </c>
      <c r="E28" s="6" t="s">
        <v>39</v>
      </c>
      <c r="F28" s="16">
        <v>460879</v>
      </c>
      <c r="G28" s="12" t="s">
        <v>195</v>
      </c>
      <c r="H28" s="6" t="s">
        <v>41</v>
      </c>
      <c r="I28" s="6" t="s">
        <v>29</v>
      </c>
      <c r="J28" s="6" t="s">
        <v>30</v>
      </c>
      <c r="K28" s="6" t="s">
        <v>43</v>
      </c>
      <c r="L28" s="6" t="s">
        <v>186</v>
      </c>
      <c r="M28" s="6" t="s">
        <v>33</v>
      </c>
      <c r="N28" s="6" t="s">
        <v>196</v>
      </c>
      <c r="O28" s="6" t="s">
        <v>73</v>
      </c>
      <c r="P28" s="8">
        <v>356</v>
      </c>
      <c r="Q28" s="8">
        <v>814.3887975697578</v>
      </c>
      <c r="R28" s="9">
        <v>45098</v>
      </c>
      <c r="S28" s="9">
        <v>45099</v>
      </c>
      <c r="T28" s="9">
        <v>45223</v>
      </c>
      <c r="U28" s="9">
        <v>45254</v>
      </c>
      <c r="V28" s="9">
        <v>45286</v>
      </c>
      <c r="W28" s="9">
        <v>45317</v>
      </c>
      <c r="X28" s="9">
        <v>45318</v>
      </c>
      <c r="Y28" s="10" t="s">
        <v>197</v>
      </c>
      <c r="Z28" s="20">
        <f t="shared" si="0"/>
        <v>46</v>
      </c>
      <c r="AF28" s="14"/>
    </row>
    <row r="29" spans="1:32" x14ac:dyDescent="0.25">
      <c r="A29" s="6">
        <v>2023</v>
      </c>
      <c r="B29" s="7" t="s">
        <v>202</v>
      </c>
      <c r="C29" s="6">
        <v>1215509</v>
      </c>
      <c r="D29" s="6" t="s">
        <v>243</v>
      </c>
      <c r="E29" s="6" t="s">
        <v>39</v>
      </c>
      <c r="F29" s="16">
        <v>449074</v>
      </c>
      <c r="G29" s="6" t="s">
        <v>244</v>
      </c>
      <c r="H29" s="6" t="s">
        <v>103</v>
      </c>
      <c r="I29" s="6" t="s">
        <v>29</v>
      </c>
      <c r="J29" s="6" t="s">
        <v>245</v>
      </c>
      <c r="K29" s="6" t="s">
        <v>43</v>
      </c>
      <c r="L29" s="6" t="s">
        <v>246</v>
      </c>
      <c r="M29" s="6" t="s">
        <v>71</v>
      </c>
      <c r="N29" s="6" t="s">
        <v>247</v>
      </c>
      <c r="O29" s="6" t="s">
        <v>35</v>
      </c>
      <c r="P29" s="8">
        <v>172</v>
      </c>
      <c r="Q29" s="8">
        <v>1644.6638774789781</v>
      </c>
      <c r="R29" s="9">
        <v>45097</v>
      </c>
      <c r="S29" s="9">
        <v>45098</v>
      </c>
      <c r="T29" s="9">
        <v>45222</v>
      </c>
      <c r="U29" s="9">
        <v>45253</v>
      </c>
      <c r="V29" s="9">
        <v>45285</v>
      </c>
      <c r="W29" s="9">
        <v>45316</v>
      </c>
      <c r="X29" s="9">
        <v>45317</v>
      </c>
      <c r="Y29" s="10" t="s">
        <v>248</v>
      </c>
      <c r="Z29" s="20">
        <f t="shared" si="0"/>
        <v>45</v>
      </c>
      <c r="AF29" s="14"/>
    </row>
    <row r="30" spans="1:32" x14ac:dyDescent="0.25">
      <c r="A30" s="6">
        <v>2025</v>
      </c>
      <c r="B30" s="7" t="s">
        <v>60</v>
      </c>
      <c r="C30" s="6">
        <v>1163655</v>
      </c>
      <c r="D30" s="6" t="s">
        <v>308</v>
      </c>
      <c r="E30" s="6" t="s">
        <v>26</v>
      </c>
      <c r="F30" s="16">
        <v>50683</v>
      </c>
      <c r="G30" s="12" t="s">
        <v>309</v>
      </c>
      <c r="H30" s="6" t="s">
        <v>103</v>
      </c>
      <c r="I30" s="6" t="s">
        <v>29</v>
      </c>
      <c r="J30" s="6" t="s">
        <v>284</v>
      </c>
      <c r="K30" s="6" t="s">
        <v>43</v>
      </c>
      <c r="L30" s="6" t="s">
        <v>276</v>
      </c>
      <c r="M30" s="6" t="s">
        <v>44</v>
      </c>
      <c r="N30" s="6" t="s">
        <v>310</v>
      </c>
      <c r="O30" s="6" t="s">
        <v>46</v>
      </c>
      <c r="P30" s="8">
        <v>55</v>
      </c>
      <c r="Q30" s="8">
        <v>1424.5446060264007</v>
      </c>
      <c r="R30" s="9">
        <v>45096</v>
      </c>
      <c r="S30" s="9">
        <v>45097</v>
      </c>
      <c r="T30" s="9">
        <v>45221</v>
      </c>
      <c r="U30" s="9">
        <v>45252</v>
      </c>
      <c r="V30" s="9">
        <v>45284</v>
      </c>
      <c r="W30" s="9">
        <v>45315</v>
      </c>
      <c r="X30" s="9">
        <v>45316</v>
      </c>
      <c r="Y30" s="10" t="s">
        <v>311</v>
      </c>
      <c r="Z30" s="20">
        <f t="shared" si="0"/>
        <v>44</v>
      </c>
      <c r="AF30" s="14"/>
    </row>
    <row r="31" spans="1:32" x14ac:dyDescent="0.25">
      <c r="A31" s="6">
        <v>2024</v>
      </c>
      <c r="B31" s="7" t="s">
        <v>60</v>
      </c>
      <c r="C31" s="6">
        <v>1112502</v>
      </c>
      <c r="D31" s="6" t="s">
        <v>305</v>
      </c>
      <c r="E31" s="6" t="s">
        <v>39</v>
      </c>
      <c r="F31" s="16">
        <v>1828852</v>
      </c>
      <c r="G31" s="12" t="s">
        <v>306</v>
      </c>
      <c r="H31" s="6" t="s">
        <v>41</v>
      </c>
      <c r="I31" s="6" t="s">
        <v>29</v>
      </c>
      <c r="J31" s="6" t="s">
        <v>127</v>
      </c>
      <c r="K31" s="6" t="s">
        <v>64</v>
      </c>
      <c r="L31" s="6" t="s">
        <v>276</v>
      </c>
      <c r="M31" s="6" t="s">
        <v>71</v>
      </c>
      <c r="N31" s="6" t="s">
        <v>72</v>
      </c>
      <c r="O31" s="6" t="s">
        <v>35</v>
      </c>
      <c r="P31" s="8">
        <v>55</v>
      </c>
      <c r="Q31" s="8">
        <v>1339.6972279833578</v>
      </c>
      <c r="R31" s="9">
        <v>45095</v>
      </c>
      <c r="S31" s="9">
        <v>45096</v>
      </c>
      <c r="T31" s="9">
        <v>45220</v>
      </c>
      <c r="U31" s="9">
        <v>45251</v>
      </c>
      <c r="V31" s="9">
        <v>45283</v>
      </c>
      <c r="W31" s="9">
        <v>45314</v>
      </c>
      <c r="X31" s="9">
        <v>45315</v>
      </c>
      <c r="Y31" s="10" t="s">
        <v>307</v>
      </c>
      <c r="Z31" s="20">
        <f t="shared" si="0"/>
        <v>43</v>
      </c>
      <c r="AF31" s="14"/>
    </row>
    <row r="32" spans="1:32" x14ac:dyDescent="0.25">
      <c r="A32" s="6">
        <v>2025</v>
      </c>
      <c r="B32" s="7" t="s">
        <v>75</v>
      </c>
      <c r="C32" s="6">
        <v>1080956</v>
      </c>
      <c r="D32" s="6" t="s">
        <v>121</v>
      </c>
      <c r="E32" s="6" t="s">
        <v>26</v>
      </c>
      <c r="F32" s="16">
        <v>1224898</v>
      </c>
      <c r="G32" s="6" t="s">
        <v>122</v>
      </c>
      <c r="H32" s="6" t="s">
        <v>103</v>
      </c>
      <c r="I32" s="6" t="s">
        <v>29</v>
      </c>
      <c r="J32" s="6" t="s">
        <v>30</v>
      </c>
      <c r="K32" s="6" t="s">
        <v>43</v>
      </c>
      <c r="L32" s="6" t="s">
        <v>99</v>
      </c>
      <c r="M32" s="6" t="s">
        <v>33</v>
      </c>
      <c r="N32" s="6" t="s">
        <v>123</v>
      </c>
      <c r="O32" s="6" t="s">
        <v>35</v>
      </c>
      <c r="P32" s="8">
        <v>106</v>
      </c>
      <c r="Q32" s="8">
        <v>103.98292797389139</v>
      </c>
      <c r="R32" s="9">
        <v>45094</v>
      </c>
      <c r="S32" s="9">
        <v>45095</v>
      </c>
      <c r="T32" s="9">
        <v>45219</v>
      </c>
      <c r="U32" s="9">
        <v>45250</v>
      </c>
      <c r="V32" s="9">
        <v>45282</v>
      </c>
      <c r="W32" s="9">
        <v>45313</v>
      </c>
      <c r="X32" s="9">
        <v>45314</v>
      </c>
      <c r="Y32" s="10" t="s">
        <v>124</v>
      </c>
      <c r="Z32" s="20">
        <f t="shared" si="0"/>
        <v>42</v>
      </c>
      <c r="AF32" s="14"/>
    </row>
    <row r="33" spans="1:32" x14ac:dyDescent="0.25">
      <c r="A33" s="6">
        <v>2024</v>
      </c>
      <c r="B33" s="7" t="s">
        <v>60</v>
      </c>
      <c r="C33" s="6">
        <v>1082423</v>
      </c>
      <c r="D33" s="6" t="s">
        <v>156</v>
      </c>
      <c r="E33" s="6" t="s">
        <v>39</v>
      </c>
      <c r="F33" s="16">
        <v>247782</v>
      </c>
      <c r="G33" s="12" t="s">
        <v>157</v>
      </c>
      <c r="H33" s="6" t="s">
        <v>103</v>
      </c>
      <c r="I33" s="6" t="s">
        <v>29</v>
      </c>
      <c r="J33" s="6" t="s">
        <v>158</v>
      </c>
      <c r="K33" s="6" t="s">
        <v>51</v>
      </c>
      <c r="L33" s="6" t="s">
        <v>139</v>
      </c>
      <c r="M33" s="6" t="s">
        <v>44</v>
      </c>
      <c r="N33" s="6" t="s">
        <v>159</v>
      </c>
      <c r="O33" s="6" t="s">
        <v>35</v>
      </c>
      <c r="P33" s="8">
        <v>73</v>
      </c>
      <c r="Q33" s="8">
        <v>1650.1385334030429</v>
      </c>
      <c r="R33" s="9">
        <v>45093</v>
      </c>
      <c r="S33" s="9">
        <v>45094</v>
      </c>
      <c r="T33" s="9">
        <v>45218</v>
      </c>
      <c r="U33" s="9">
        <v>45249</v>
      </c>
      <c r="V33" s="9">
        <v>45281</v>
      </c>
      <c r="W33" s="9">
        <v>45312</v>
      </c>
      <c r="X33" s="9">
        <v>45313</v>
      </c>
      <c r="Y33" s="10" t="s">
        <v>160</v>
      </c>
      <c r="Z33" s="20">
        <f t="shared" si="0"/>
        <v>41</v>
      </c>
      <c r="AF33" s="14"/>
    </row>
    <row r="34" spans="1:32" x14ac:dyDescent="0.25">
      <c r="A34" s="6">
        <v>2023</v>
      </c>
      <c r="B34" s="7" t="s">
        <v>88</v>
      </c>
      <c r="C34" s="6">
        <v>1297183</v>
      </c>
      <c r="D34" s="6" t="s">
        <v>240</v>
      </c>
      <c r="E34" s="6" t="s">
        <v>39</v>
      </c>
      <c r="F34" s="16">
        <v>582134</v>
      </c>
      <c r="G34" s="12" t="s">
        <v>241</v>
      </c>
      <c r="H34" s="6" t="s">
        <v>109</v>
      </c>
      <c r="I34" s="6" t="s">
        <v>29</v>
      </c>
      <c r="J34" s="6" t="s">
        <v>42</v>
      </c>
      <c r="K34" s="6" t="s">
        <v>43</v>
      </c>
      <c r="L34" s="6" t="s">
        <v>205</v>
      </c>
      <c r="M34" s="6" t="s">
        <v>80</v>
      </c>
      <c r="N34" s="6" t="s">
        <v>72</v>
      </c>
      <c r="O34" s="6" t="s">
        <v>35</v>
      </c>
      <c r="P34" s="8">
        <v>121</v>
      </c>
      <c r="Q34" s="8">
        <v>1899.1279751204959</v>
      </c>
      <c r="R34" s="9">
        <v>45092</v>
      </c>
      <c r="S34" s="9">
        <v>45093</v>
      </c>
      <c r="T34" s="9">
        <v>45217</v>
      </c>
      <c r="U34" s="9">
        <v>45248</v>
      </c>
      <c r="V34" s="9">
        <v>45280</v>
      </c>
      <c r="W34" s="9">
        <v>45311</v>
      </c>
      <c r="X34" s="9">
        <v>45312</v>
      </c>
      <c r="Y34" s="10" t="s">
        <v>242</v>
      </c>
      <c r="Z34" s="20">
        <f t="shared" ref="Z34:Z65" si="1">COUNT(F34:F105)</f>
        <v>40</v>
      </c>
      <c r="AF34" s="14"/>
    </row>
    <row r="35" spans="1:32" x14ac:dyDescent="0.25">
      <c r="A35" s="6">
        <v>2023</v>
      </c>
      <c r="B35" s="7" t="s">
        <v>94</v>
      </c>
      <c r="C35" s="6">
        <v>1294081</v>
      </c>
      <c r="D35" s="6" t="s">
        <v>118</v>
      </c>
      <c r="E35" s="6" t="s">
        <v>39</v>
      </c>
      <c r="F35" s="16">
        <v>1920909</v>
      </c>
      <c r="G35" s="12" t="s">
        <v>119</v>
      </c>
      <c r="H35" s="6" t="s">
        <v>97</v>
      </c>
      <c r="I35" s="6" t="s">
        <v>29</v>
      </c>
      <c r="J35" s="6" t="s">
        <v>91</v>
      </c>
      <c r="K35" s="6" t="s">
        <v>43</v>
      </c>
      <c r="L35" s="6" t="s">
        <v>99</v>
      </c>
      <c r="M35" s="6" t="s">
        <v>80</v>
      </c>
      <c r="N35" s="6" t="s">
        <v>72</v>
      </c>
      <c r="O35" s="6" t="s">
        <v>35</v>
      </c>
      <c r="P35" s="8">
        <v>39</v>
      </c>
      <c r="Q35" s="8">
        <v>1004.0360055005815</v>
      </c>
      <c r="R35" s="9">
        <v>45091</v>
      </c>
      <c r="S35" s="9">
        <v>45092</v>
      </c>
      <c r="T35" s="9">
        <v>45216</v>
      </c>
      <c r="U35" s="9">
        <v>45247</v>
      </c>
      <c r="V35" s="9">
        <v>45279</v>
      </c>
      <c r="W35" s="9">
        <v>45310</v>
      </c>
      <c r="X35" s="9">
        <v>45311</v>
      </c>
      <c r="Y35" s="10" t="s">
        <v>120</v>
      </c>
      <c r="Z35" s="20">
        <f t="shared" si="1"/>
        <v>39</v>
      </c>
      <c r="AF35" s="14"/>
    </row>
    <row r="36" spans="1:32" x14ac:dyDescent="0.25">
      <c r="A36" s="6">
        <v>2023</v>
      </c>
      <c r="B36" s="7" t="s">
        <v>202</v>
      </c>
      <c r="C36" s="6">
        <v>1232538</v>
      </c>
      <c r="D36" s="6" t="s">
        <v>237</v>
      </c>
      <c r="E36" s="6" t="s">
        <v>39</v>
      </c>
      <c r="F36" s="16">
        <v>705928</v>
      </c>
      <c r="G36" s="12" t="s">
        <v>238</v>
      </c>
      <c r="H36" s="6" t="s">
        <v>103</v>
      </c>
      <c r="I36" s="6" t="s">
        <v>29</v>
      </c>
      <c r="J36" s="6" t="s">
        <v>127</v>
      </c>
      <c r="K36" s="6" t="s">
        <v>64</v>
      </c>
      <c r="L36" s="6" t="s">
        <v>205</v>
      </c>
      <c r="M36" s="6" t="s">
        <v>33</v>
      </c>
      <c r="N36" s="6" t="s">
        <v>72</v>
      </c>
      <c r="O36" s="6" t="s">
        <v>35</v>
      </c>
      <c r="P36" s="8">
        <v>110</v>
      </c>
      <c r="Q36" s="8">
        <v>159.71828054934994</v>
      </c>
      <c r="R36" s="9">
        <v>45090</v>
      </c>
      <c r="S36" s="9">
        <v>45091</v>
      </c>
      <c r="T36" s="9">
        <v>45215</v>
      </c>
      <c r="U36" s="9">
        <v>45246</v>
      </c>
      <c r="V36" s="9">
        <v>45278</v>
      </c>
      <c r="W36" s="9">
        <v>45309</v>
      </c>
      <c r="X36" s="9">
        <v>45310</v>
      </c>
      <c r="Y36" s="10" t="s">
        <v>239</v>
      </c>
      <c r="Z36" s="20">
        <f t="shared" si="1"/>
        <v>38</v>
      </c>
      <c r="AF36" s="14"/>
    </row>
    <row r="37" spans="1:32" x14ac:dyDescent="0.25">
      <c r="A37" s="6">
        <v>2025</v>
      </c>
      <c r="B37" s="7" t="s">
        <v>133</v>
      </c>
      <c r="C37" s="6">
        <v>1185043</v>
      </c>
      <c r="D37" s="6" t="s">
        <v>153</v>
      </c>
      <c r="E37" s="6" t="s">
        <v>39</v>
      </c>
      <c r="F37" s="16">
        <v>1145021</v>
      </c>
      <c r="G37" s="12" t="s">
        <v>154</v>
      </c>
      <c r="H37" s="6" t="s">
        <v>78</v>
      </c>
      <c r="I37" s="6" t="s">
        <v>29</v>
      </c>
      <c r="J37" s="6" t="s">
        <v>30</v>
      </c>
      <c r="K37" s="6" t="s">
        <v>51</v>
      </c>
      <c r="L37" s="6" t="s">
        <v>139</v>
      </c>
      <c r="M37" s="6" t="s">
        <v>44</v>
      </c>
      <c r="N37" s="6" t="s">
        <v>72</v>
      </c>
      <c r="O37" s="6" t="s">
        <v>35</v>
      </c>
      <c r="P37" s="8">
        <v>40</v>
      </c>
      <c r="Q37" s="8">
        <v>1875.0481546845629</v>
      </c>
      <c r="R37" s="9">
        <v>45089</v>
      </c>
      <c r="S37" s="9">
        <v>45090</v>
      </c>
      <c r="T37" s="9">
        <v>45214</v>
      </c>
      <c r="U37" s="9">
        <v>45245</v>
      </c>
      <c r="V37" s="9">
        <v>45277</v>
      </c>
      <c r="W37" s="9">
        <v>45308</v>
      </c>
      <c r="X37" s="9">
        <v>45309</v>
      </c>
      <c r="Y37" s="10" t="s">
        <v>155</v>
      </c>
      <c r="Z37" s="20">
        <f t="shared" si="1"/>
        <v>37</v>
      </c>
      <c r="AF37" s="14"/>
    </row>
    <row r="38" spans="1:32" x14ac:dyDescent="0.25">
      <c r="A38" s="6">
        <v>2023</v>
      </c>
      <c r="B38" s="7" t="s">
        <v>75</v>
      </c>
      <c r="C38" s="6">
        <v>1092547</v>
      </c>
      <c r="D38" s="6" t="s">
        <v>301</v>
      </c>
      <c r="E38" s="6" t="s">
        <v>39</v>
      </c>
      <c r="F38" s="16">
        <v>1344257</v>
      </c>
      <c r="G38" s="12" t="s">
        <v>302</v>
      </c>
      <c r="H38" s="6" t="s">
        <v>109</v>
      </c>
      <c r="I38" s="6" t="s">
        <v>29</v>
      </c>
      <c r="J38" s="6" t="s">
        <v>288</v>
      </c>
      <c r="K38" s="6" t="s">
        <v>51</v>
      </c>
      <c r="L38" s="6" t="s">
        <v>303</v>
      </c>
      <c r="M38" s="6" t="s">
        <v>44</v>
      </c>
      <c r="N38" s="6" t="s">
        <v>235</v>
      </c>
      <c r="O38" s="6" t="s">
        <v>46</v>
      </c>
      <c r="P38" s="8">
        <v>84</v>
      </c>
      <c r="Q38" s="8">
        <v>1420.7067702168658</v>
      </c>
      <c r="R38" s="9">
        <v>45088</v>
      </c>
      <c r="S38" s="9">
        <v>45089</v>
      </c>
      <c r="T38" s="9">
        <v>45213</v>
      </c>
      <c r="U38" s="9">
        <v>45244</v>
      </c>
      <c r="V38" s="9">
        <v>45276</v>
      </c>
      <c r="W38" s="9">
        <v>45307</v>
      </c>
      <c r="X38" s="9">
        <v>45308</v>
      </c>
      <c r="Y38" s="10" t="s">
        <v>304</v>
      </c>
      <c r="Z38" s="20">
        <f t="shared" si="1"/>
        <v>36</v>
      </c>
      <c r="AF38" s="14"/>
    </row>
    <row r="39" spans="1:32" x14ac:dyDescent="0.25">
      <c r="A39" s="6">
        <v>2024</v>
      </c>
      <c r="B39" s="7" t="s">
        <v>133</v>
      </c>
      <c r="C39" s="6">
        <v>1082757</v>
      </c>
      <c r="D39" s="6" t="s">
        <v>299</v>
      </c>
      <c r="E39" s="6" t="s">
        <v>39</v>
      </c>
      <c r="F39" s="16">
        <v>2066209</v>
      </c>
      <c r="G39" s="6" t="s">
        <v>151</v>
      </c>
      <c r="H39" s="6" t="s">
        <v>28</v>
      </c>
      <c r="I39" s="6" t="s">
        <v>29</v>
      </c>
      <c r="J39" s="6" t="s">
        <v>30</v>
      </c>
      <c r="K39" s="6" t="s">
        <v>64</v>
      </c>
      <c r="L39" s="6" t="s">
        <v>276</v>
      </c>
      <c r="M39" s="6" t="s">
        <v>71</v>
      </c>
      <c r="N39" s="6" t="s">
        <v>72</v>
      </c>
      <c r="O39" s="6" t="s">
        <v>35</v>
      </c>
      <c r="P39" s="8">
        <v>198</v>
      </c>
      <c r="Q39" s="8">
        <v>1195.5233925534719</v>
      </c>
      <c r="R39" s="9">
        <v>45087</v>
      </c>
      <c r="S39" s="9">
        <v>45088</v>
      </c>
      <c r="T39" s="9">
        <v>45212</v>
      </c>
      <c r="U39" s="9">
        <v>45243</v>
      </c>
      <c r="V39" s="9">
        <v>45275</v>
      </c>
      <c r="W39" s="9">
        <v>45306</v>
      </c>
      <c r="X39" s="9">
        <v>45307</v>
      </c>
      <c r="Y39" s="10" t="s">
        <v>300</v>
      </c>
      <c r="Z39" s="20">
        <f t="shared" si="1"/>
        <v>35</v>
      </c>
      <c r="AF39" s="14"/>
    </row>
    <row r="40" spans="1:32" x14ac:dyDescent="0.25">
      <c r="A40" s="6">
        <v>2023</v>
      </c>
      <c r="B40" s="7" t="s">
        <v>133</v>
      </c>
      <c r="C40" s="6">
        <v>1118371</v>
      </c>
      <c r="D40" s="6" t="s">
        <v>232</v>
      </c>
      <c r="E40" s="6" t="s">
        <v>39</v>
      </c>
      <c r="F40" s="16">
        <v>1731089</v>
      </c>
      <c r="G40" s="12" t="s">
        <v>233</v>
      </c>
      <c r="H40" s="6" t="s">
        <v>103</v>
      </c>
      <c r="I40" s="6" t="s">
        <v>29</v>
      </c>
      <c r="J40" s="6" t="s">
        <v>131</v>
      </c>
      <c r="K40" s="6" t="s">
        <v>51</v>
      </c>
      <c r="L40" s="6" t="s">
        <v>234</v>
      </c>
      <c r="M40" s="6" t="s">
        <v>44</v>
      </c>
      <c r="N40" s="6" t="s">
        <v>235</v>
      </c>
      <c r="O40" s="6" t="s">
        <v>46</v>
      </c>
      <c r="P40" s="8">
        <v>91</v>
      </c>
      <c r="Q40" s="8">
        <v>2011.2859166693781</v>
      </c>
      <c r="R40" s="9">
        <v>45086</v>
      </c>
      <c r="S40" s="9">
        <v>45087</v>
      </c>
      <c r="T40" s="9">
        <v>45211</v>
      </c>
      <c r="U40" s="9">
        <v>45242</v>
      </c>
      <c r="V40" s="9">
        <v>45274</v>
      </c>
      <c r="W40" s="9">
        <v>45305</v>
      </c>
      <c r="X40" s="9">
        <v>45306</v>
      </c>
      <c r="Y40" s="10" t="s">
        <v>236</v>
      </c>
      <c r="Z40" s="20">
        <f t="shared" si="1"/>
        <v>34</v>
      </c>
      <c r="AF40" s="14"/>
    </row>
    <row r="41" spans="1:32" x14ac:dyDescent="0.25">
      <c r="A41" s="6">
        <v>2023</v>
      </c>
      <c r="B41" s="7" t="s">
        <v>133</v>
      </c>
      <c r="C41" s="6">
        <v>1052501</v>
      </c>
      <c r="D41" s="6" t="s">
        <v>150</v>
      </c>
      <c r="E41" s="6" t="s">
        <v>39</v>
      </c>
      <c r="F41" s="16">
        <v>330428</v>
      </c>
      <c r="G41" s="12" t="s">
        <v>151</v>
      </c>
      <c r="H41" s="6" t="s">
        <v>103</v>
      </c>
      <c r="I41" s="6" t="s">
        <v>29</v>
      </c>
      <c r="J41" s="6" t="s">
        <v>152</v>
      </c>
      <c r="K41" s="6" t="s">
        <v>51</v>
      </c>
      <c r="L41" s="6" t="s">
        <v>139</v>
      </c>
      <c r="M41" s="6" t="s">
        <v>71</v>
      </c>
      <c r="N41" s="6" t="s">
        <v>72</v>
      </c>
      <c r="O41" s="6" t="s">
        <v>35</v>
      </c>
      <c r="P41" s="8">
        <v>151</v>
      </c>
      <c r="Q41" s="8">
        <v>2001.6229587246085</v>
      </c>
      <c r="R41" s="9">
        <v>45085</v>
      </c>
      <c r="S41" s="9">
        <v>45086</v>
      </c>
      <c r="T41" s="9">
        <v>45210</v>
      </c>
      <c r="U41" s="9">
        <v>45241</v>
      </c>
      <c r="V41" s="9">
        <v>45273</v>
      </c>
      <c r="W41" s="9">
        <v>45304</v>
      </c>
      <c r="X41" s="9">
        <v>45305</v>
      </c>
      <c r="Y41" s="10" t="s">
        <v>140</v>
      </c>
      <c r="Z41" s="20">
        <f t="shared" si="1"/>
        <v>33</v>
      </c>
      <c r="AF41" s="14"/>
    </row>
    <row r="42" spans="1:32" x14ac:dyDescent="0.25">
      <c r="A42" s="6">
        <v>2025</v>
      </c>
      <c r="B42" s="7" t="s">
        <v>67</v>
      </c>
      <c r="C42" s="6">
        <v>1214146</v>
      </c>
      <c r="D42" s="6" t="s">
        <v>68</v>
      </c>
      <c r="E42" s="6" t="s">
        <v>26</v>
      </c>
      <c r="F42" s="16">
        <v>1280291</v>
      </c>
      <c r="G42" s="12" t="s">
        <v>69</v>
      </c>
      <c r="H42" s="6" t="s">
        <v>28</v>
      </c>
      <c r="I42" s="6" t="s">
        <v>70</v>
      </c>
      <c r="J42" s="6" t="s">
        <v>30</v>
      </c>
      <c r="K42" s="6" t="s">
        <v>43</v>
      </c>
      <c r="L42" s="6" t="s">
        <v>32</v>
      </c>
      <c r="M42" s="6" t="s">
        <v>71</v>
      </c>
      <c r="N42" s="6" t="s">
        <v>72</v>
      </c>
      <c r="O42" s="6" t="s">
        <v>73</v>
      </c>
      <c r="P42" s="8">
        <v>56</v>
      </c>
      <c r="Q42" s="8">
        <v>1945.9374923649157</v>
      </c>
      <c r="R42" s="9">
        <v>45084</v>
      </c>
      <c r="S42" s="9">
        <v>45085</v>
      </c>
      <c r="T42" s="9">
        <v>45209</v>
      </c>
      <c r="U42" s="9">
        <v>45240</v>
      </c>
      <c r="V42" s="9">
        <v>45272</v>
      </c>
      <c r="W42" s="9">
        <v>45303</v>
      </c>
      <c r="X42" s="9">
        <v>45304</v>
      </c>
      <c r="Y42" s="10" t="s">
        <v>74</v>
      </c>
      <c r="Z42" s="20">
        <f t="shared" si="1"/>
        <v>32</v>
      </c>
      <c r="AF42" s="14"/>
    </row>
    <row r="43" spans="1:32" x14ac:dyDescent="0.25">
      <c r="A43" s="6">
        <v>2025</v>
      </c>
      <c r="B43" s="7" t="s">
        <v>88</v>
      </c>
      <c r="C43" s="6">
        <v>1081039</v>
      </c>
      <c r="D43" s="6" t="s">
        <v>294</v>
      </c>
      <c r="E43" s="6" t="s">
        <v>26</v>
      </c>
      <c r="F43" s="16">
        <v>1097570</v>
      </c>
      <c r="G43" s="12" t="s">
        <v>295</v>
      </c>
      <c r="H43" s="6" t="s">
        <v>109</v>
      </c>
      <c r="I43" s="6" t="s">
        <v>29</v>
      </c>
      <c r="J43" s="6" t="s">
        <v>30</v>
      </c>
      <c r="K43" s="6" t="s">
        <v>43</v>
      </c>
      <c r="L43" s="6" t="s">
        <v>296</v>
      </c>
      <c r="M43" s="6" t="s">
        <v>52</v>
      </c>
      <c r="N43" s="6" t="s">
        <v>219</v>
      </c>
      <c r="O43" s="6" t="s">
        <v>297</v>
      </c>
      <c r="P43" s="8">
        <v>55</v>
      </c>
      <c r="Q43" s="8">
        <v>2048.8717017217291</v>
      </c>
      <c r="R43" s="9">
        <v>45083</v>
      </c>
      <c r="S43" s="9">
        <v>45084</v>
      </c>
      <c r="T43" s="9">
        <v>45208</v>
      </c>
      <c r="U43" s="9">
        <v>45239</v>
      </c>
      <c r="V43" s="9">
        <v>45271</v>
      </c>
      <c r="W43" s="9">
        <v>45302</v>
      </c>
      <c r="X43" s="9">
        <v>45303</v>
      </c>
      <c r="Y43" s="10" t="s">
        <v>298</v>
      </c>
      <c r="Z43" s="20">
        <f t="shared" si="1"/>
        <v>31</v>
      </c>
      <c r="AF43" s="14"/>
    </row>
    <row r="44" spans="1:32" x14ac:dyDescent="0.25">
      <c r="A44" s="6">
        <v>2025</v>
      </c>
      <c r="B44" s="7" t="s">
        <v>55</v>
      </c>
      <c r="C44" s="6">
        <v>1272487</v>
      </c>
      <c r="D44" s="6" t="s">
        <v>115</v>
      </c>
      <c r="E44" s="6" t="s">
        <v>39</v>
      </c>
      <c r="F44" s="16">
        <v>534194</v>
      </c>
      <c r="G44" s="12" t="s">
        <v>116</v>
      </c>
      <c r="H44" s="6" t="s">
        <v>41</v>
      </c>
      <c r="I44" s="6" t="s">
        <v>29</v>
      </c>
      <c r="J44" s="6" t="s">
        <v>30</v>
      </c>
      <c r="K44" s="6" t="s">
        <v>43</v>
      </c>
      <c r="L44" s="6" t="s">
        <v>99</v>
      </c>
      <c r="M44" s="6" t="s">
        <v>71</v>
      </c>
      <c r="N44" s="6" t="s">
        <v>72</v>
      </c>
      <c r="O44" s="6" t="s">
        <v>35</v>
      </c>
      <c r="P44" s="8">
        <v>150</v>
      </c>
      <c r="Q44" s="8">
        <v>1451.7603448267653</v>
      </c>
      <c r="R44" s="9">
        <v>45082</v>
      </c>
      <c r="S44" s="9">
        <v>45083</v>
      </c>
      <c r="T44" s="9">
        <v>45207</v>
      </c>
      <c r="U44" s="9">
        <v>45238</v>
      </c>
      <c r="V44" s="9">
        <v>45270</v>
      </c>
      <c r="W44" s="9">
        <v>45301</v>
      </c>
      <c r="X44" s="9">
        <v>45302</v>
      </c>
      <c r="Y44" s="10" t="s">
        <v>117</v>
      </c>
      <c r="Z44" s="20">
        <f t="shared" si="1"/>
        <v>30</v>
      </c>
      <c r="AF44" s="14"/>
    </row>
    <row r="45" spans="1:32" x14ac:dyDescent="0.25">
      <c r="A45" s="6">
        <v>2024</v>
      </c>
      <c r="B45" s="7" t="s">
        <v>24</v>
      </c>
      <c r="C45" s="6">
        <v>1097251</v>
      </c>
      <c r="D45" s="6" t="s">
        <v>229</v>
      </c>
      <c r="E45" s="6" t="s">
        <v>39</v>
      </c>
      <c r="F45" s="16">
        <v>1474038</v>
      </c>
      <c r="G45" s="12" t="s">
        <v>230</v>
      </c>
      <c r="H45" s="6" t="s">
        <v>97</v>
      </c>
      <c r="I45" s="6" t="s">
        <v>29</v>
      </c>
      <c r="J45" s="6" t="s">
        <v>63</v>
      </c>
      <c r="K45" s="6" t="s">
        <v>43</v>
      </c>
      <c r="L45" s="6" t="s">
        <v>205</v>
      </c>
      <c r="M45" s="6" t="s">
        <v>80</v>
      </c>
      <c r="N45" s="6" t="s">
        <v>164</v>
      </c>
      <c r="O45" s="6" t="s">
        <v>183</v>
      </c>
      <c r="P45" s="8">
        <v>40</v>
      </c>
      <c r="Q45" s="8">
        <v>286.39016501770726</v>
      </c>
      <c r="R45" s="9">
        <v>45081</v>
      </c>
      <c r="S45" s="9">
        <v>45082</v>
      </c>
      <c r="T45" s="9">
        <v>45206</v>
      </c>
      <c r="U45" s="9">
        <v>45237</v>
      </c>
      <c r="V45" s="9">
        <v>45269</v>
      </c>
      <c r="W45" s="9">
        <v>45300</v>
      </c>
      <c r="X45" s="9">
        <v>45301</v>
      </c>
      <c r="Y45" s="10" t="s">
        <v>231</v>
      </c>
      <c r="Z45" s="20">
        <f t="shared" si="1"/>
        <v>29</v>
      </c>
      <c r="AF45" s="14"/>
    </row>
    <row r="46" spans="1:32" x14ac:dyDescent="0.25">
      <c r="A46" s="6">
        <v>2025</v>
      </c>
      <c r="B46" s="7" t="s">
        <v>202</v>
      </c>
      <c r="C46" s="6">
        <v>1157668</v>
      </c>
      <c r="D46" s="6" t="s">
        <v>290</v>
      </c>
      <c r="E46" s="6" t="s">
        <v>26</v>
      </c>
      <c r="F46" s="16">
        <v>387692</v>
      </c>
      <c r="G46" s="12" t="s">
        <v>291</v>
      </c>
      <c r="H46" s="6" t="s">
        <v>78</v>
      </c>
      <c r="I46" s="6" t="s">
        <v>70</v>
      </c>
      <c r="J46" s="6" t="s">
        <v>30</v>
      </c>
      <c r="K46" s="6" t="s">
        <v>43</v>
      </c>
      <c r="L46" s="6" t="s">
        <v>292</v>
      </c>
      <c r="M46" s="6" t="s">
        <v>52</v>
      </c>
      <c r="N46" s="6" t="s">
        <v>86</v>
      </c>
      <c r="O46" s="6" t="s">
        <v>35</v>
      </c>
      <c r="P46" s="8">
        <v>229</v>
      </c>
      <c r="Q46" s="8">
        <v>2170.4728944291455</v>
      </c>
      <c r="R46" s="9">
        <v>45080</v>
      </c>
      <c r="S46" s="9">
        <v>45081</v>
      </c>
      <c r="T46" s="9">
        <v>45205</v>
      </c>
      <c r="U46" s="9">
        <v>45236</v>
      </c>
      <c r="V46" s="9">
        <v>45268</v>
      </c>
      <c r="W46" s="9">
        <v>45299</v>
      </c>
      <c r="X46" s="9">
        <v>45300</v>
      </c>
      <c r="Y46" s="10" t="s">
        <v>293</v>
      </c>
      <c r="Z46" s="20">
        <f t="shared" si="1"/>
        <v>28</v>
      </c>
      <c r="AF46" s="14"/>
    </row>
    <row r="47" spans="1:32" x14ac:dyDescent="0.25">
      <c r="A47" s="6">
        <v>2024</v>
      </c>
      <c r="B47" s="7" t="s">
        <v>48</v>
      </c>
      <c r="C47" s="6">
        <v>1098028</v>
      </c>
      <c r="D47" s="6" t="s">
        <v>111</v>
      </c>
      <c r="E47" s="6" t="s">
        <v>39</v>
      </c>
      <c r="F47" s="16">
        <v>622042</v>
      </c>
      <c r="G47" s="12" t="s">
        <v>112</v>
      </c>
      <c r="H47" s="6" t="s">
        <v>41</v>
      </c>
      <c r="I47" s="6" t="s">
        <v>29</v>
      </c>
      <c r="J47" s="6" t="s">
        <v>91</v>
      </c>
      <c r="K47" s="6" t="s">
        <v>51</v>
      </c>
      <c r="L47" s="6" t="s">
        <v>99</v>
      </c>
      <c r="M47" s="6" t="s">
        <v>80</v>
      </c>
      <c r="N47" s="6" t="s">
        <v>113</v>
      </c>
      <c r="O47" s="6" t="s">
        <v>35</v>
      </c>
      <c r="P47" s="8">
        <v>55</v>
      </c>
      <c r="Q47" s="8">
        <v>1712.3282723632387</v>
      </c>
      <c r="R47" s="9">
        <v>45079</v>
      </c>
      <c r="S47" s="9">
        <v>45080</v>
      </c>
      <c r="T47" s="9">
        <v>45204</v>
      </c>
      <c r="U47" s="9">
        <v>45235</v>
      </c>
      <c r="V47" s="9">
        <v>45267</v>
      </c>
      <c r="W47" s="9">
        <v>45298</v>
      </c>
      <c r="X47" s="9">
        <v>45299</v>
      </c>
      <c r="Y47" s="10" t="s">
        <v>114</v>
      </c>
      <c r="Z47" s="20">
        <f t="shared" si="1"/>
        <v>27</v>
      </c>
      <c r="AF47" s="14"/>
    </row>
    <row r="48" spans="1:32" x14ac:dyDescent="0.25">
      <c r="A48" s="6">
        <v>2025</v>
      </c>
      <c r="B48" s="7" t="s">
        <v>48</v>
      </c>
      <c r="C48" s="6">
        <v>1114381</v>
      </c>
      <c r="D48" s="6" t="s">
        <v>225</v>
      </c>
      <c r="E48" s="6" t="s">
        <v>39</v>
      </c>
      <c r="F48" s="16">
        <v>68259</v>
      </c>
      <c r="G48" s="12" t="s">
        <v>226</v>
      </c>
      <c r="H48" s="6" t="s">
        <v>78</v>
      </c>
      <c r="I48" s="6" t="s">
        <v>29</v>
      </c>
      <c r="J48" s="6" t="s">
        <v>63</v>
      </c>
      <c r="K48" s="6" t="s">
        <v>31</v>
      </c>
      <c r="L48" s="6" t="s">
        <v>227</v>
      </c>
      <c r="M48" s="6" t="s">
        <v>33</v>
      </c>
      <c r="N48" s="6" t="s">
        <v>72</v>
      </c>
      <c r="O48" s="6" t="s">
        <v>35</v>
      </c>
      <c r="P48" s="8">
        <v>252</v>
      </c>
      <c r="Q48" s="8">
        <v>95.718002523139248</v>
      </c>
      <c r="R48" s="9">
        <v>45078</v>
      </c>
      <c r="S48" s="9">
        <v>45079</v>
      </c>
      <c r="T48" s="9">
        <v>45203</v>
      </c>
      <c r="U48" s="9">
        <v>45234</v>
      </c>
      <c r="V48" s="9">
        <v>45266</v>
      </c>
      <c r="W48" s="9">
        <v>45297</v>
      </c>
      <c r="X48" s="9">
        <v>45298</v>
      </c>
      <c r="Y48" s="10" t="s">
        <v>228</v>
      </c>
      <c r="Z48" s="20">
        <f t="shared" si="1"/>
        <v>26</v>
      </c>
      <c r="AF48" s="14"/>
    </row>
    <row r="49" spans="1:32" x14ac:dyDescent="0.25">
      <c r="A49" s="6">
        <v>2025</v>
      </c>
      <c r="B49" s="7" t="s">
        <v>94</v>
      </c>
      <c r="C49" s="6">
        <v>1067883</v>
      </c>
      <c r="D49" s="6" t="s">
        <v>108</v>
      </c>
      <c r="E49" s="6" t="s">
        <v>26</v>
      </c>
      <c r="F49" s="16">
        <v>1597700</v>
      </c>
      <c r="G49" s="6" t="s">
        <v>57</v>
      </c>
      <c r="H49" s="6" t="s">
        <v>109</v>
      </c>
      <c r="I49" s="6" t="s">
        <v>29</v>
      </c>
      <c r="J49" s="6" t="s">
        <v>30</v>
      </c>
      <c r="K49" s="6" t="s">
        <v>43</v>
      </c>
      <c r="L49" s="6" t="s">
        <v>99</v>
      </c>
      <c r="M49" s="6" t="s">
        <v>71</v>
      </c>
      <c r="N49" s="6" t="s">
        <v>72</v>
      </c>
      <c r="O49" s="6" t="s">
        <v>35</v>
      </c>
      <c r="P49" s="8">
        <v>39</v>
      </c>
      <c r="Q49" s="8">
        <v>1663.5296761338868</v>
      </c>
      <c r="R49" s="9">
        <v>45077</v>
      </c>
      <c r="S49" s="9">
        <v>45078</v>
      </c>
      <c r="T49" s="9">
        <v>45202</v>
      </c>
      <c r="U49" s="9">
        <v>45233</v>
      </c>
      <c r="V49" s="9">
        <v>45265</v>
      </c>
      <c r="W49" s="9">
        <v>45296</v>
      </c>
      <c r="X49" s="9">
        <v>45297</v>
      </c>
      <c r="Y49" s="10" t="s">
        <v>110</v>
      </c>
      <c r="Z49" s="20">
        <f t="shared" si="1"/>
        <v>25</v>
      </c>
      <c r="AF49" s="14"/>
    </row>
    <row r="50" spans="1:32" x14ac:dyDescent="0.25">
      <c r="A50" s="6">
        <v>2023</v>
      </c>
      <c r="B50" s="7" t="s">
        <v>161</v>
      </c>
      <c r="C50" s="6">
        <v>1077403</v>
      </c>
      <c r="D50" s="6" t="s">
        <v>286</v>
      </c>
      <c r="E50" s="6" t="s">
        <v>39</v>
      </c>
      <c r="F50" s="16">
        <v>4354263</v>
      </c>
      <c r="G50" s="12" t="s">
        <v>287</v>
      </c>
      <c r="H50" s="6" t="s">
        <v>103</v>
      </c>
      <c r="I50" s="6" t="s">
        <v>29</v>
      </c>
      <c r="J50" s="6" t="s">
        <v>288</v>
      </c>
      <c r="K50" s="6" t="s">
        <v>64</v>
      </c>
      <c r="L50" s="6" t="s">
        <v>276</v>
      </c>
      <c r="M50" s="6" t="s">
        <v>71</v>
      </c>
      <c r="N50" s="6" t="s">
        <v>72</v>
      </c>
      <c r="O50" s="6" t="s">
        <v>168</v>
      </c>
      <c r="P50" s="8">
        <v>148</v>
      </c>
      <c r="Q50" s="8">
        <v>1502.9551844440721</v>
      </c>
      <c r="R50" s="9">
        <v>45076</v>
      </c>
      <c r="S50" s="9">
        <v>45077</v>
      </c>
      <c r="T50" s="9">
        <v>45201</v>
      </c>
      <c r="U50" s="9">
        <v>45232</v>
      </c>
      <c r="V50" s="9">
        <v>45264</v>
      </c>
      <c r="W50" s="9">
        <v>45295</v>
      </c>
      <c r="X50" s="9">
        <v>45296</v>
      </c>
      <c r="Y50" s="10" t="s">
        <v>289</v>
      </c>
      <c r="Z50" s="20">
        <f t="shared" si="1"/>
        <v>24</v>
      </c>
      <c r="AF50" s="14"/>
    </row>
    <row r="51" spans="1:32" x14ac:dyDescent="0.25">
      <c r="A51" s="6">
        <v>2025</v>
      </c>
      <c r="B51" s="7" t="s">
        <v>75</v>
      </c>
      <c r="C51" s="6">
        <v>1253615</v>
      </c>
      <c r="D51" s="6" t="s">
        <v>221</v>
      </c>
      <c r="E51" s="6" t="s">
        <v>39</v>
      </c>
      <c r="F51" s="16">
        <v>1058186</v>
      </c>
      <c r="G51" s="12" t="s">
        <v>222</v>
      </c>
      <c r="H51" s="6" t="s">
        <v>109</v>
      </c>
      <c r="I51" s="6" t="s">
        <v>29</v>
      </c>
      <c r="J51" s="6" t="s">
        <v>98</v>
      </c>
      <c r="K51" s="6" t="s">
        <v>43</v>
      </c>
      <c r="L51" s="6" t="s">
        <v>205</v>
      </c>
      <c r="M51" s="6" t="s">
        <v>52</v>
      </c>
      <c r="N51" s="6" t="s">
        <v>223</v>
      </c>
      <c r="O51" s="6" t="s">
        <v>35</v>
      </c>
      <c r="P51" s="8">
        <v>126</v>
      </c>
      <c r="Q51" s="8">
        <v>425.90061798511027</v>
      </c>
      <c r="R51" s="9">
        <v>45075</v>
      </c>
      <c r="S51" s="9">
        <v>45076</v>
      </c>
      <c r="T51" s="9">
        <v>45200</v>
      </c>
      <c r="U51" s="9">
        <v>45231</v>
      </c>
      <c r="V51" s="9">
        <v>45263</v>
      </c>
      <c r="W51" s="9">
        <v>45294</v>
      </c>
      <c r="X51" s="9">
        <v>45295</v>
      </c>
      <c r="Y51" s="10" t="s">
        <v>224</v>
      </c>
      <c r="Z51" s="20">
        <f t="shared" si="1"/>
        <v>23</v>
      </c>
      <c r="AF51" s="14"/>
    </row>
    <row r="52" spans="1:32" x14ac:dyDescent="0.25">
      <c r="A52" s="6">
        <v>2024</v>
      </c>
      <c r="B52" s="7" t="s">
        <v>202</v>
      </c>
      <c r="C52" s="6">
        <v>1101806</v>
      </c>
      <c r="D52" s="6" t="s">
        <v>282</v>
      </c>
      <c r="E52" s="6" t="s">
        <v>26</v>
      </c>
      <c r="F52" s="16">
        <v>1469801</v>
      </c>
      <c r="G52" s="6" t="s">
        <v>283</v>
      </c>
      <c r="H52" s="6" t="s">
        <v>97</v>
      </c>
      <c r="I52" s="6" t="s">
        <v>29</v>
      </c>
      <c r="J52" s="6" t="s">
        <v>284</v>
      </c>
      <c r="K52" s="6" t="s">
        <v>51</v>
      </c>
      <c r="L52" s="6" t="s">
        <v>276</v>
      </c>
      <c r="M52" s="6" t="s">
        <v>71</v>
      </c>
      <c r="N52" s="6" t="s">
        <v>72</v>
      </c>
      <c r="O52" s="6" t="s">
        <v>46</v>
      </c>
      <c r="P52" s="8">
        <v>18</v>
      </c>
      <c r="Q52" s="8">
        <v>94.955097192967102</v>
      </c>
      <c r="R52" s="9">
        <v>45074</v>
      </c>
      <c r="S52" s="9">
        <v>45075</v>
      </c>
      <c r="T52" s="9">
        <v>45199</v>
      </c>
      <c r="U52" s="9">
        <v>45230</v>
      </c>
      <c r="V52" s="9">
        <v>45262</v>
      </c>
      <c r="W52" s="9">
        <v>45293</v>
      </c>
      <c r="X52" s="9">
        <v>45294</v>
      </c>
      <c r="Y52" s="10" t="s">
        <v>285</v>
      </c>
      <c r="Z52" s="20">
        <f t="shared" si="1"/>
        <v>22</v>
      </c>
      <c r="AF52" s="14"/>
    </row>
    <row r="53" spans="1:32" x14ac:dyDescent="0.25">
      <c r="A53" s="6">
        <v>2024</v>
      </c>
      <c r="B53" s="7" t="s">
        <v>55</v>
      </c>
      <c r="C53" s="6">
        <v>1101761</v>
      </c>
      <c r="D53" s="6" t="s">
        <v>216</v>
      </c>
      <c r="E53" s="6" t="s">
        <v>39</v>
      </c>
      <c r="F53" s="16">
        <v>2134273</v>
      </c>
      <c r="G53" s="12" t="s">
        <v>217</v>
      </c>
      <c r="H53" s="6" t="s">
        <v>97</v>
      </c>
      <c r="I53" s="6" t="s">
        <v>29</v>
      </c>
      <c r="J53" s="6" t="s">
        <v>30</v>
      </c>
      <c r="K53" s="6" t="s">
        <v>31</v>
      </c>
      <c r="L53" s="6" t="s">
        <v>218</v>
      </c>
      <c r="M53" s="6" t="s">
        <v>33</v>
      </c>
      <c r="N53" s="6" t="s">
        <v>219</v>
      </c>
      <c r="O53" s="6" t="s">
        <v>35</v>
      </c>
      <c r="P53" s="8">
        <v>33</v>
      </c>
      <c r="Q53" s="8">
        <v>3.2776119137781725</v>
      </c>
      <c r="R53" s="9">
        <v>45073</v>
      </c>
      <c r="S53" s="9">
        <v>45074</v>
      </c>
      <c r="T53" s="9">
        <v>45198</v>
      </c>
      <c r="U53" s="9">
        <v>45229</v>
      </c>
      <c r="V53" s="9">
        <v>45261</v>
      </c>
      <c r="W53" s="9">
        <v>45292</v>
      </c>
      <c r="X53" s="9">
        <v>45293</v>
      </c>
      <c r="Y53" s="10" t="s">
        <v>220</v>
      </c>
      <c r="Z53" s="20">
        <f t="shared" si="1"/>
        <v>21</v>
      </c>
      <c r="AF53" s="14"/>
    </row>
    <row r="54" spans="1:32" x14ac:dyDescent="0.25">
      <c r="A54" s="6">
        <v>2025</v>
      </c>
      <c r="B54" s="7" t="s">
        <v>37</v>
      </c>
      <c r="C54" s="6">
        <v>1020663</v>
      </c>
      <c r="D54" s="6" t="s">
        <v>279</v>
      </c>
      <c r="E54" s="6" t="s">
        <v>26</v>
      </c>
      <c r="F54" s="16">
        <v>938369</v>
      </c>
      <c r="G54" s="12" t="s">
        <v>280</v>
      </c>
      <c r="H54" s="6" t="s">
        <v>109</v>
      </c>
      <c r="I54" s="6" t="s">
        <v>70</v>
      </c>
      <c r="J54" s="6" t="s">
        <v>30</v>
      </c>
      <c r="K54" s="6" t="s">
        <v>51</v>
      </c>
      <c r="L54" s="6" t="s">
        <v>268</v>
      </c>
      <c r="M54" s="6" t="s">
        <v>52</v>
      </c>
      <c r="N54" s="6" t="s">
        <v>72</v>
      </c>
      <c r="O54" s="6" t="s">
        <v>35</v>
      </c>
      <c r="P54" s="8">
        <v>56</v>
      </c>
      <c r="Q54" s="8">
        <v>1953.6276012186488</v>
      </c>
      <c r="R54" s="9">
        <v>45072</v>
      </c>
      <c r="S54" s="9">
        <v>45073</v>
      </c>
      <c r="T54" s="9">
        <v>45197</v>
      </c>
      <c r="U54" s="9">
        <v>45228</v>
      </c>
      <c r="V54" s="9">
        <v>45260</v>
      </c>
      <c r="W54" s="9">
        <v>45291</v>
      </c>
      <c r="X54" s="9">
        <v>45292</v>
      </c>
      <c r="Y54" s="10" t="s">
        <v>281</v>
      </c>
      <c r="Z54" s="20">
        <f t="shared" si="1"/>
        <v>20</v>
      </c>
      <c r="AF54" s="14"/>
    </row>
    <row r="55" spans="1:32" x14ac:dyDescent="0.25">
      <c r="A55" s="6">
        <v>2025</v>
      </c>
      <c r="B55" s="7" t="s">
        <v>94</v>
      </c>
      <c r="C55" s="6">
        <v>1189197</v>
      </c>
      <c r="D55" s="6" t="s">
        <v>147</v>
      </c>
      <c r="E55" s="6" t="s">
        <v>39</v>
      </c>
      <c r="F55" s="16">
        <v>1489303</v>
      </c>
      <c r="G55" s="12" t="s">
        <v>148</v>
      </c>
      <c r="H55" s="6" t="s">
        <v>109</v>
      </c>
      <c r="I55" s="6" t="s">
        <v>70</v>
      </c>
      <c r="J55" s="6" t="s">
        <v>63</v>
      </c>
      <c r="K55" s="6" t="s">
        <v>51</v>
      </c>
      <c r="L55" s="6" t="s">
        <v>139</v>
      </c>
      <c r="M55" s="6" t="s">
        <v>33</v>
      </c>
      <c r="N55" s="6" t="s">
        <v>72</v>
      </c>
      <c r="O55" s="6" t="s">
        <v>35</v>
      </c>
      <c r="P55" s="8">
        <v>79</v>
      </c>
      <c r="Q55" s="8">
        <v>1688.2833804031839</v>
      </c>
      <c r="R55" s="9">
        <v>45071</v>
      </c>
      <c r="S55" s="9">
        <v>45072</v>
      </c>
      <c r="T55" s="9">
        <v>45196</v>
      </c>
      <c r="U55" s="9">
        <v>45227</v>
      </c>
      <c r="V55" s="9">
        <v>45259</v>
      </c>
      <c r="W55" s="9">
        <v>45290</v>
      </c>
      <c r="X55" s="9">
        <v>45291</v>
      </c>
      <c r="Y55" s="10" t="s">
        <v>149</v>
      </c>
      <c r="Z55" s="20">
        <f t="shared" si="1"/>
        <v>19</v>
      </c>
      <c r="AF55" s="14"/>
    </row>
    <row r="56" spans="1:32" x14ac:dyDescent="0.25">
      <c r="A56" s="6">
        <v>2025</v>
      </c>
      <c r="B56" s="7" t="s">
        <v>161</v>
      </c>
      <c r="C56" s="6">
        <v>1260505</v>
      </c>
      <c r="D56" s="6" t="s">
        <v>213</v>
      </c>
      <c r="E56" s="6" t="s">
        <v>39</v>
      </c>
      <c r="F56" s="16">
        <v>1892566</v>
      </c>
      <c r="G56" s="12" t="s">
        <v>214</v>
      </c>
      <c r="H56" s="6" t="s">
        <v>103</v>
      </c>
      <c r="I56" s="6" t="s">
        <v>29</v>
      </c>
      <c r="J56" s="6" t="s">
        <v>30</v>
      </c>
      <c r="K56" s="6" t="s">
        <v>43</v>
      </c>
      <c r="L56" s="6" t="s">
        <v>205</v>
      </c>
      <c r="M56" s="6" t="s">
        <v>33</v>
      </c>
      <c r="N56" s="6" t="s">
        <v>72</v>
      </c>
      <c r="O56" s="6" t="s">
        <v>35</v>
      </c>
      <c r="P56" s="8">
        <v>112</v>
      </c>
      <c r="Q56" s="8">
        <v>2189.2689692372755</v>
      </c>
      <c r="R56" s="9">
        <v>45070</v>
      </c>
      <c r="S56" s="9">
        <v>45071</v>
      </c>
      <c r="T56" s="9">
        <v>45195</v>
      </c>
      <c r="U56" s="9">
        <v>45226</v>
      </c>
      <c r="V56" s="9">
        <v>45258</v>
      </c>
      <c r="W56" s="9">
        <v>45289</v>
      </c>
      <c r="X56" s="9">
        <v>45290</v>
      </c>
      <c r="Y56" s="10" t="s">
        <v>215</v>
      </c>
      <c r="Z56" s="20">
        <f t="shared" si="1"/>
        <v>18</v>
      </c>
      <c r="AF56" s="14"/>
    </row>
    <row r="57" spans="1:32" x14ac:dyDescent="0.25">
      <c r="A57" s="6">
        <v>2024</v>
      </c>
      <c r="B57" s="7" t="s">
        <v>67</v>
      </c>
      <c r="C57" s="6">
        <v>1097151</v>
      </c>
      <c r="D57" s="6" t="s">
        <v>210</v>
      </c>
      <c r="E57" s="6" t="s">
        <v>39</v>
      </c>
      <c r="F57" s="16">
        <v>1977991</v>
      </c>
      <c r="G57" s="6" t="s">
        <v>211</v>
      </c>
      <c r="H57" s="6" t="s">
        <v>103</v>
      </c>
      <c r="I57" s="6" t="s">
        <v>29</v>
      </c>
      <c r="J57" s="6" t="s">
        <v>30</v>
      </c>
      <c r="K57" s="6" t="s">
        <v>51</v>
      </c>
      <c r="L57" s="6" t="s">
        <v>205</v>
      </c>
      <c r="M57" s="6" t="s">
        <v>71</v>
      </c>
      <c r="N57" s="6" t="s">
        <v>72</v>
      </c>
      <c r="O57" s="6" t="s">
        <v>46</v>
      </c>
      <c r="P57" s="8">
        <v>94</v>
      </c>
      <c r="Q57" s="8">
        <v>2096.6973255978601</v>
      </c>
      <c r="R57" s="9">
        <v>45069</v>
      </c>
      <c r="S57" s="9">
        <v>45070</v>
      </c>
      <c r="T57" s="9">
        <v>45194</v>
      </c>
      <c r="U57" s="9">
        <v>45225</v>
      </c>
      <c r="V57" s="9">
        <v>45257</v>
      </c>
      <c r="W57" s="9">
        <v>45288</v>
      </c>
      <c r="X57" s="9">
        <v>45289</v>
      </c>
      <c r="Y57" s="10" t="s">
        <v>212</v>
      </c>
      <c r="Z57" s="20">
        <f t="shared" si="1"/>
        <v>17</v>
      </c>
      <c r="AF57" s="14"/>
    </row>
    <row r="58" spans="1:32" x14ac:dyDescent="0.25">
      <c r="A58" s="6">
        <v>2023</v>
      </c>
      <c r="B58" s="7" t="s">
        <v>60</v>
      </c>
      <c r="C58" s="6">
        <v>1154635</v>
      </c>
      <c r="D58" s="6" t="s">
        <v>61</v>
      </c>
      <c r="E58" s="6" t="s">
        <v>39</v>
      </c>
      <c r="F58" s="16">
        <v>518169</v>
      </c>
      <c r="G58" s="12" t="s">
        <v>62</v>
      </c>
      <c r="H58" s="6" t="s">
        <v>50</v>
      </c>
      <c r="I58" s="6" t="s">
        <v>29</v>
      </c>
      <c r="J58" s="6" t="s">
        <v>63</v>
      </c>
      <c r="K58" s="6" t="s">
        <v>64</v>
      </c>
      <c r="L58" s="6" t="s">
        <v>32</v>
      </c>
      <c r="M58" s="6" t="s">
        <v>52</v>
      </c>
      <c r="N58" s="6" t="s">
        <v>65</v>
      </c>
      <c r="O58" s="6" t="s">
        <v>46</v>
      </c>
      <c r="P58" s="8">
        <v>311</v>
      </c>
      <c r="Q58" s="8">
        <v>146.02333410480014</v>
      </c>
      <c r="R58" s="9">
        <v>45068</v>
      </c>
      <c r="S58" s="9">
        <v>45069</v>
      </c>
      <c r="T58" s="9">
        <v>45193</v>
      </c>
      <c r="U58" s="9">
        <v>45224</v>
      </c>
      <c r="V58" s="9">
        <v>45256</v>
      </c>
      <c r="W58" s="9">
        <v>45287</v>
      </c>
      <c r="X58" s="9">
        <v>45288</v>
      </c>
      <c r="Y58" s="10" t="s">
        <v>66</v>
      </c>
      <c r="Z58" s="20">
        <f t="shared" si="1"/>
        <v>16</v>
      </c>
      <c r="AF58" s="14"/>
    </row>
    <row r="59" spans="1:32" x14ac:dyDescent="0.25">
      <c r="A59" s="6">
        <v>2024</v>
      </c>
      <c r="B59" s="7" t="s">
        <v>55</v>
      </c>
      <c r="C59" s="6">
        <v>1191179</v>
      </c>
      <c r="D59" s="6" t="s">
        <v>56</v>
      </c>
      <c r="E59" s="6" t="s">
        <v>39</v>
      </c>
      <c r="F59" s="16">
        <v>1887613</v>
      </c>
      <c r="G59" s="12" t="s">
        <v>57</v>
      </c>
      <c r="H59" s="6" t="s">
        <v>50</v>
      </c>
      <c r="I59" s="6" t="s">
        <v>29</v>
      </c>
      <c r="J59" s="6" t="s">
        <v>58</v>
      </c>
      <c r="K59" s="6" t="s">
        <v>51</v>
      </c>
      <c r="L59" s="6" t="s">
        <v>32</v>
      </c>
      <c r="M59" s="6" t="s">
        <v>52</v>
      </c>
      <c r="N59" s="6" t="s">
        <v>53</v>
      </c>
      <c r="O59" s="6" t="s">
        <v>46</v>
      </c>
      <c r="P59" s="8">
        <v>304</v>
      </c>
      <c r="Q59" s="8">
        <v>157.87221332310065</v>
      </c>
      <c r="R59" s="9">
        <v>45067</v>
      </c>
      <c r="S59" s="9">
        <v>45068</v>
      </c>
      <c r="T59" s="9">
        <v>45192</v>
      </c>
      <c r="U59" s="9">
        <v>45223</v>
      </c>
      <c r="V59" s="9">
        <v>45255</v>
      </c>
      <c r="W59" s="9">
        <v>45286</v>
      </c>
      <c r="X59" s="9">
        <v>45287</v>
      </c>
      <c r="Y59" s="10" t="s">
        <v>59</v>
      </c>
      <c r="Z59" s="20">
        <f t="shared" si="1"/>
        <v>15</v>
      </c>
      <c r="AF59" s="5"/>
    </row>
    <row r="60" spans="1:32" x14ac:dyDescent="0.25">
      <c r="A60" s="6">
        <v>2024</v>
      </c>
      <c r="B60" s="7" t="s">
        <v>67</v>
      </c>
      <c r="C60" s="6">
        <v>1113587</v>
      </c>
      <c r="D60" s="6" t="s">
        <v>192</v>
      </c>
      <c r="E60" s="6" t="s">
        <v>26</v>
      </c>
      <c r="F60" s="16">
        <v>377108</v>
      </c>
      <c r="G60" s="6" t="s">
        <v>116</v>
      </c>
      <c r="H60" s="6" t="s">
        <v>50</v>
      </c>
      <c r="I60" s="6" t="s">
        <v>29</v>
      </c>
      <c r="J60" s="6" t="s">
        <v>30</v>
      </c>
      <c r="K60" s="6" t="s">
        <v>43</v>
      </c>
      <c r="L60" s="6" t="s">
        <v>186</v>
      </c>
      <c r="M60" s="6" t="s">
        <v>44</v>
      </c>
      <c r="N60" s="6" t="s">
        <v>65</v>
      </c>
      <c r="O60" s="6" t="s">
        <v>46</v>
      </c>
      <c r="P60" s="8">
        <v>289</v>
      </c>
      <c r="Q60" s="8">
        <v>2105.5445473019736</v>
      </c>
      <c r="R60" s="9">
        <v>45066</v>
      </c>
      <c r="S60" s="9">
        <v>45067</v>
      </c>
      <c r="T60" s="9">
        <v>45191</v>
      </c>
      <c r="U60" s="9">
        <v>45222</v>
      </c>
      <c r="V60" s="9">
        <v>45254</v>
      </c>
      <c r="W60" s="9">
        <v>45285</v>
      </c>
      <c r="X60" s="9">
        <v>45286</v>
      </c>
      <c r="Y60" s="10" t="s">
        <v>193</v>
      </c>
      <c r="Z60" s="20">
        <f t="shared" si="1"/>
        <v>14</v>
      </c>
      <c r="AF60" s="5"/>
    </row>
    <row r="61" spans="1:32" x14ac:dyDescent="0.25">
      <c r="A61" s="6">
        <v>2024</v>
      </c>
      <c r="B61" s="7" t="s">
        <v>37</v>
      </c>
      <c r="C61" s="6">
        <v>1021647</v>
      </c>
      <c r="D61" s="6" t="s">
        <v>141</v>
      </c>
      <c r="E61" s="6" t="s">
        <v>39</v>
      </c>
      <c r="F61" s="16">
        <v>135306</v>
      </c>
      <c r="G61" s="12" t="s">
        <v>142</v>
      </c>
      <c r="H61" s="6" t="s">
        <v>50</v>
      </c>
      <c r="I61" s="6" t="s">
        <v>29</v>
      </c>
      <c r="J61" s="6" t="s">
        <v>143</v>
      </c>
      <c r="K61" s="6" t="s">
        <v>31</v>
      </c>
      <c r="L61" s="6" t="s">
        <v>139</v>
      </c>
      <c r="M61" s="6" t="s">
        <v>144</v>
      </c>
      <c r="N61" s="6" t="s">
        <v>145</v>
      </c>
      <c r="O61" s="6" t="s">
        <v>35</v>
      </c>
      <c r="P61" s="8">
        <v>263</v>
      </c>
      <c r="Q61" s="8">
        <v>218.32963072904121</v>
      </c>
      <c r="R61" s="9">
        <v>45065</v>
      </c>
      <c r="S61" s="9">
        <v>45066</v>
      </c>
      <c r="T61" s="9">
        <v>45190</v>
      </c>
      <c r="U61" s="9">
        <v>45221</v>
      </c>
      <c r="V61" s="9">
        <v>45253</v>
      </c>
      <c r="W61" s="9">
        <v>45284</v>
      </c>
      <c r="X61" s="9">
        <v>45285</v>
      </c>
      <c r="Y61" s="10" t="s">
        <v>146</v>
      </c>
      <c r="Z61" s="20">
        <f t="shared" si="1"/>
        <v>13</v>
      </c>
      <c r="AF61" s="5"/>
    </row>
    <row r="62" spans="1:32" x14ac:dyDescent="0.25">
      <c r="A62" s="6">
        <v>2024</v>
      </c>
      <c r="B62" s="7" t="s">
        <v>48</v>
      </c>
      <c r="C62" s="6">
        <v>1097192</v>
      </c>
      <c r="D62" s="6" t="s">
        <v>49</v>
      </c>
      <c r="E62" s="6" t="s">
        <v>39</v>
      </c>
      <c r="F62" s="16">
        <v>77964</v>
      </c>
      <c r="G62" s="12" t="s">
        <v>27</v>
      </c>
      <c r="H62" s="6" t="s">
        <v>50</v>
      </c>
      <c r="I62" s="6" t="s">
        <v>29</v>
      </c>
      <c r="J62" s="6" t="s">
        <v>30</v>
      </c>
      <c r="K62" s="6" t="s">
        <v>51</v>
      </c>
      <c r="L62" s="6" t="s">
        <v>32</v>
      </c>
      <c r="M62" s="6" t="s">
        <v>52</v>
      </c>
      <c r="N62" s="6" t="s">
        <v>53</v>
      </c>
      <c r="O62" s="6" t="s">
        <v>46</v>
      </c>
      <c r="P62" s="8">
        <v>293</v>
      </c>
      <c r="Q62" s="8">
        <v>1071.2748031524079</v>
      </c>
      <c r="R62" s="9">
        <v>45064</v>
      </c>
      <c r="S62" s="9">
        <v>45065</v>
      </c>
      <c r="T62" s="9">
        <v>45189</v>
      </c>
      <c r="U62" s="9">
        <v>45220</v>
      </c>
      <c r="V62" s="9">
        <v>45252</v>
      </c>
      <c r="W62" s="9">
        <v>45283</v>
      </c>
      <c r="X62" s="9">
        <v>45284</v>
      </c>
      <c r="Y62" s="10" t="s">
        <v>54</v>
      </c>
      <c r="Z62" s="20">
        <f t="shared" si="1"/>
        <v>12</v>
      </c>
      <c r="AF62" s="5"/>
    </row>
    <row r="63" spans="1:32" x14ac:dyDescent="0.25">
      <c r="A63" s="6">
        <v>2025</v>
      </c>
      <c r="B63" s="7" t="s">
        <v>55</v>
      </c>
      <c r="C63" s="6">
        <v>1159463</v>
      </c>
      <c r="D63" s="6" t="s">
        <v>105</v>
      </c>
      <c r="E63" s="6" t="s">
        <v>26</v>
      </c>
      <c r="F63" s="16">
        <v>986779</v>
      </c>
      <c r="G63" s="12" t="s">
        <v>106</v>
      </c>
      <c r="H63" s="6" t="s">
        <v>50</v>
      </c>
      <c r="I63" s="6" t="s">
        <v>29</v>
      </c>
      <c r="J63" s="6" t="s">
        <v>30</v>
      </c>
      <c r="K63" s="6" t="s">
        <v>43</v>
      </c>
      <c r="L63" s="6" t="s">
        <v>99</v>
      </c>
      <c r="M63" s="6" t="s">
        <v>44</v>
      </c>
      <c r="N63" s="6" t="s">
        <v>45</v>
      </c>
      <c r="O63" s="6" t="s">
        <v>46</v>
      </c>
      <c r="P63" s="8">
        <v>276</v>
      </c>
      <c r="Q63" s="8">
        <v>2075.3825062763963</v>
      </c>
      <c r="R63" s="9">
        <v>45063</v>
      </c>
      <c r="S63" s="9">
        <v>45064</v>
      </c>
      <c r="T63" s="9">
        <v>45188</v>
      </c>
      <c r="U63" s="9">
        <v>45219</v>
      </c>
      <c r="V63" s="9">
        <v>45251</v>
      </c>
      <c r="W63" s="9">
        <v>45282</v>
      </c>
      <c r="X63" s="9">
        <v>45283</v>
      </c>
      <c r="Y63" s="10" t="s">
        <v>107</v>
      </c>
      <c r="Z63" s="20">
        <f t="shared" si="1"/>
        <v>11</v>
      </c>
      <c r="AF63" s="5"/>
    </row>
    <row r="64" spans="1:32" x14ac:dyDescent="0.25">
      <c r="A64" s="6">
        <v>2025</v>
      </c>
      <c r="B64" s="7" t="s">
        <v>24</v>
      </c>
      <c r="C64" s="6">
        <v>1221262</v>
      </c>
      <c r="D64" s="6" t="s">
        <v>188</v>
      </c>
      <c r="E64" s="6" t="s">
        <v>39</v>
      </c>
      <c r="F64" s="16">
        <v>91477</v>
      </c>
      <c r="G64" s="12" t="s">
        <v>189</v>
      </c>
      <c r="H64" s="6" t="s">
        <v>50</v>
      </c>
      <c r="I64" s="6" t="s">
        <v>29</v>
      </c>
      <c r="J64" s="6" t="s">
        <v>30</v>
      </c>
      <c r="K64" s="6" t="s">
        <v>43</v>
      </c>
      <c r="L64" s="6" t="s">
        <v>186</v>
      </c>
      <c r="M64" s="6" t="s">
        <v>44</v>
      </c>
      <c r="N64" s="6" t="s">
        <v>65</v>
      </c>
      <c r="O64" s="6" t="s">
        <v>190</v>
      </c>
      <c r="P64" s="8">
        <v>268</v>
      </c>
      <c r="Q64" s="8">
        <v>857.25803481734124</v>
      </c>
      <c r="R64" s="9">
        <v>45062</v>
      </c>
      <c r="S64" s="9">
        <v>45063</v>
      </c>
      <c r="T64" s="9">
        <v>45187</v>
      </c>
      <c r="U64" s="9">
        <v>45218</v>
      </c>
      <c r="V64" s="9">
        <v>45250</v>
      </c>
      <c r="W64" s="9">
        <v>45281</v>
      </c>
      <c r="X64" s="9">
        <v>45282</v>
      </c>
      <c r="Y64" s="10" t="s">
        <v>191</v>
      </c>
      <c r="Z64" s="20">
        <f t="shared" si="1"/>
        <v>10</v>
      </c>
      <c r="AF64" s="5"/>
    </row>
    <row r="65" spans="1:32" x14ac:dyDescent="0.25">
      <c r="A65" s="6">
        <v>2024</v>
      </c>
      <c r="B65" s="7" t="s">
        <v>161</v>
      </c>
      <c r="C65" s="6">
        <v>1176726</v>
      </c>
      <c r="D65" s="6" t="s">
        <v>185</v>
      </c>
      <c r="E65" s="6" t="s">
        <v>39</v>
      </c>
      <c r="F65" s="16">
        <v>363846</v>
      </c>
      <c r="G65" s="6" t="s">
        <v>126</v>
      </c>
      <c r="H65" s="6" t="s">
        <v>41</v>
      </c>
      <c r="I65" s="6" t="s">
        <v>29</v>
      </c>
      <c r="J65" s="6" t="s">
        <v>30</v>
      </c>
      <c r="K65" s="6" t="s">
        <v>43</v>
      </c>
      <c r="L65" s="6" t="s">
        <v>186</v>
      </c>
      <c r="M65" s="6" t="s">
        <v>71</v>
      </c>
      <c r="N65" s="6" t="s">
        <v>65</v>
      </c>
      <c r="O65" s="6" t="s">
        <v>46</v>
      </c>
      <c r="P65" s="8">
        <v>323</v>
      </c>
      <c r="Q65" s="8">
        <v>1508.6420700885778</v>
      </c>
      <c r="R65" s="9">
        <v>45061</v>
      </c>
      <c r="S65" s="9">
        <v>45062</v>
      </c>
      <c r="T65" s="9">
        <v>45186</v>
      </c>
      <c r="U65" s="9">
        <v>45217</v>
      </c>
      <c r="V65" s="9">
        <v>45249</v>
      </c>
      <c r="W65" s="9">
        <v>45280</v>
      </c>
      <c r="X65" s="9">
        <v>45281</v>
      </c>
      <c r="Y65" s="10" t="s">
        <v>187</v>
      </c>
      <c r="Z65" s="20">
        <f t="shared" si="1"/>
        <v>9</v>
      </c>
      <c r="AF65" s="5"/>
    </row>
    <row r="66" spans="1:32" x14ac:dyDescent="0.25">
      <c r="A66" s="6">
        <v>2023</v>
      </c>
      <c r="B66" s="7" t="s">
        <v>37</v>
      </c>
      <c r="C66" s="6">
        <v>1057420</v>
      </c>
      <c r="D66" s="6" t="s">
        <v>38</v>
      </c>
      <c r="E66" s="6" t="s">
        <v>39</v>
      </c>
      <c r="F66" s="16">
        <v>1717082</v>
      </c>
      <c r="G66" s="12" t="s">
        <v>40</v>
      </c>
      <c r="H66" s="6" t="s">
        <v>41</v>
      </c>
      <c r="I66" s="6" t="s">
        <v>29</v>
      </c>
      <c r="J66" s="6" t="s">
        <v>42</v>
      </c>
      <c r="K66" s="6" t="s">
        <v>43</v>
      </c>
      <c r="L66" s="6" t="s">
        <v>32</v>
      </c>
      <c r="M66" s="6" t="s">
        <v>44</v>
      </c>
      <c r="N66" s="6" t="s">
        <v>45</v>
      </c>
      <c r="O66" s="6" t="s">
        <v>46</v>
      </c>
      <c r="P66" s="8">
        <v>279</v>
      </c>
      <c r="Q66" s="8">
        <v>1569.1421407795322</v>
      </c>
      <c r="R66" s="9">
        <v>45060</v>
      </c>
      <c r="S66" s="9">
        <v>45061</v>
      </c>
      <c r="T66" s="9">
        <v>45185</v>
      </c>
      <c r="U66" s="9">
        <v>45216</v>
      </c>
      <c r="V66" s="9">
        <v>45248</v>
      </c>
      <c r="W66" s="9">
        <v>45279</v>
      </c>
      <c r="X66" s="9">
        <v>45280</v>
      </c>
      <c r="Y66" s="10" t="s">
        <v>47</v>
      </c>
      <c r="Z66" s="20">
        <f t="shared" ref="Z66:Z73" si="2">COUNT(F66:F137)</f>
        <v>8</v>
      </c>
      <c r="AF66" s="5"/>
    </row>
    <row r="67" spans="1:32" x14ac:dyDescent="0.25">
      <c r="A67" s="6">
        <v>2025</v>
      </c>
      <c r="B67" s="7" t="s">
        <v>48</v>
      </c>
      <c r="C67" s="6">
        <v>1080455</v>
      </c>
      <c r="D67" s="6" t="s">
        <v>137</v>
      </c>
      <c r="E67" s="6" t="s">
        <v>26</v>
      </c>
      <c r="F67" s="16">
        <v>2047041</v>
      </c>
      <c r="G67" s="12" t="s">
        <v>138</v>
      </c>
      <c r="H67" s="6" t="s">
        <v>50</v>
      </c>
      <c r="I67" s="6" t="s">
        <v>29</v>
      </c>
      <c r="J67" s="6" t="s">
        <v>30</v>
      </c>
      <c r="K67" s="6" t="s">
        <v>51</v>
      </c>
      <c r="L67" s="6" t="s">
        <v>139</v>
      </c>
      <c r="M67" s="6" t="s">
        <v>52</v>
      </c>
      <c r="N67" s="6" t="s">
        <v>53</v>
      </c>
      <c r="O67" s="6" t="s">
        <v>46</v>
      </c>
      <c r="P67" s="8">
        <v>300</v>
      </c>
      <c r="Q67" s="8">
        <v>632.61201023256422</v>
      </c>
      <c r="R67" s="9">
        <v>45059</v>
      </c>
      <c r="S67" s="9">
        <v>45060</v>
      </c>
      <c r="T67" s="9">
        <v>45184</v>
      </c>
      <c r="U67" s="9">
        <v>45215</v>
      </c>
      <c r="V67" s="9">
        <v>45247</v>
      </c>
      <c r="W67" s="9">
        <v>45278</v>
      </c>
      <c r="X67" s="9">
        <v>45279</v>
      </c>
      <c r="Y67" s="10" t="s">
        <v>140</v>
      </c>
      <c r="Z67" s="20">
        <f t="shared" si="2"/>
        <v>7</v>
      </c>
      <c r="AF67" s="5"/>
    </row>
    <row r="68" spans="1:32" x14ac:dyDescent="0.25">
      <c r="A68" s="6">
        <v>2023</v>
      </c>
      <c r="B68" s="7" t="s">
        <v>75</v>
      </c>
      <c r="C68" s="6">
        <v>1075642</v>
      </c>
      <c r="D68" s="6" t="s">
        <v>207</v>
      </c>
      <c r="E68" s="6" t="s">
        <v>39</v>
      </c>
      <c r="F68" s="16">
        <v>2062489</v>
      </c>
      <c r="G68" s="12" t="s">
        <v>208</v>
      </c>
      <c r="H68" s="6" t="s">
        <v>103</v>
      </c>
      <c r="I68" s="6" t="s">
        <v>29</v>
      </c>
      <c r="J68" s="6" t="s">
        <v>152</v>
      </c>
      <c r="K68" s="6" t="s">
        <v>31</v>
      </c>
      <c r="L68" s="6" t="s">
        <v>205</v>
      </c>
      <c r="M68" s="6" t="s">
        <v>80</v>
      </c>
      <c r="N68" s="6" t="s">
        <v>72</v>
      </c>
      <c r="O68" s="6" t="s">
        <v>168</v>
      </c>
      <c r="P68" s="8">
        <v>114</v>
      </c>
      <c r="Q68" s="8">
        <v>551.16577432307997</v>
      </c>
      <c r="R68" s="9">
        <v>45058</v>
      </c>
      <c r="S68" s="9">
        <v>45059</v>
      </c>
      <c r="T68" s="9">
        <v>45183</v>
      </c>
      <c r="U68" s="9">
        <v>45214</v>
      </c>
      <c r="V68" s="9">
        <v>45246</v>
      </c>
      <c r="W68" s="9">
        <v>45277</v>
      </c>
      <c r="X68" s="9">
        <v>45278</v>
      </c>
      <c r="Y68" s="10" t="s">
        <v>209</v>
      </c>
      <c r="Z68" s="20">
        <f t="shared" si="2"/>
        <v>6</v>
      </c>
      <c r="AF68" s="5"/>
    </row>
    <row r="69" spans="1:32" x14ac:dyDescent="0.25">
      <c r="A69" s="6">
        <v>2025</v>
      </c>
      <c r="B69" s="7" t="s">
        <v>202</v>
      </c>
      <c r="C69" s="6">
        <v>1179160</v>
      </c>
      <c r="D69" s="6" t="s">
        <v>203</v>
      </c>
      <c r="E69" s="6" t="s">
        <v>39</v>
      </c>
      <c r="F69" s="16">
        <v>2195918</v>
      </c>
      <c r="G69" s="12" t="s">
        <v>204</v>
      </c>
      <c r="H69" s="6" t="s">
        <v>50</v>
      </c>
      <c r="I69" s="6" t="s">
        <v>29</v>
      </c>
      <c r="J69" s="6" t="s">
        <v>63</v>
      </c>
      <c r="K69" s="6" t="s">
        <v>64</v>
      </c>
      <c r="L69" s="6" t="s">
        <v>205</v>
      </c>
      <c r="M69" s="6" t="s">
        <v>52</v>
      </c>
      <c r="N69" s="6" t="s">
        <v>65</v>
      </c>
      <c r="O69" s="6" t="s">
        <v>46</v>
      </c>
      <c r="P69" s="8">
        <v>314</v>
      </c>
      <c r="Q69" s="8">
        <v>186.74714602037201</v>
      </c>
      <c r="R69" s="9">
        <v>45057</v>
      </c>
      <c r="S69" s="9">
        <v>45058</v>
      </c>
      <c r="T69" s="9">
        <v>45182</v>
      </c>
      <c r="U69" s="9">
        <v>45213</v>
      </c>
      <c r="V69" s="9">
        <v>45245</v>
      </c>
      <c r="W69" s="9">
        <v>45276</v>
      </c>
      <c r="X69" s="9">
        <v>45277</v>
      </c>
      <c r="Y69" s="10" t="s">
        <v>206</v>
      </c>
      <c r="Z69" s="20">
        <f t="shared" si="2"/>
        <v>5</v>
      </c>
      <c r="AF69" s="5"/>
    </row>
    <row r="70" spans="1:32" x14ac:dyDescent="0.25">
      <c r="A70" s="6">
        <v>2025</v>
      </c>
      <c r="B70" s="7" t="s">
        <v>88</v>
      </c>
      <c r="C70" s="6">
        <v>1097250</v>
      </c>
      <c r="D70" s="6" t="s">
        <v>101</v>
      </c>
      <c r="E70" s="6" t="s">
        <v>39</v>
      </c>
      <c r="F70" s="16">
        <v>618794</v>
      </c>
      <c r="G70" s="6" t="s">
        <v>102</v>
      </c>
      <c r="H70" s="6" t="s">
        <v>103</v>
      </c>
      <c r="I70" s="6" t="s">
        <v>29</v>
      </c>
      <c r="J70" s="6" t="s">
        <v>30</v>
      </c>
      <c r="K70" s="6" t="s">
        <v>43</v>
      </c>
      <c r="L70" s="6" t="s">
        <v>99</v>
      </c>
      <c r="M70" s="6" t="s">
        <v>44</v>
      </c>
      <c r="N70" s="6" t="s">
        <v>72</v>
      </c>
      <c r="O70" s="6" t="s">
        <v>46</v>
      </c>
      <c r="P70" s="8">
        <v>93</v>
      </c>
      <c r="Q70" s="8">
        <v>1785.9045298484361</v>
      </c>
      <c r="R70" s="9">
        <v>45056</v>
      </c>
      <c r="S70" s="9">
        <v>45057</v>
      </c>
      <c r="T70" s="9">
        <v>45181</v>
      </c>
      <c r="U70" s="9">
        <v>45212</v>
      </c>
      <c r="V70" s="9">
        <v>45244</v>
      </c>
      <c r="W70" s="9">
        <v>45275</v>
      </c>
      <c r="X70" s="9">
        <v>45276</v>
      </c>
      <c r="Y70" s="10" t="s">
        <v>104</v>
      </c>
      <c r="Z70" s="20">
        <f t="shared" si="2"/>
        <v>4</v>
      </c>
      <c r="AF70" s="5"/>
    </row>
    <row r="71" spans="1:32" x14ac:dyDescent="0.25">
      <c r="A71" s="6">
        <v>2024</v>
      </c>
      <c r="B71" s="7" t="s">
        <v>24</v>
      </c>
      <c r="C71" s="6">
        <v>1097202</v>
      </c>
      <c r="D71" s="6" t="s">
        <v>274</v>
      </c>
      <c r="E71" s="6" t="s">
        <v>39</v>
      </c>
      <c r="F71" s="16">
        <v>1276392</v>
      </c>
      <c r="G71" s="12" t="s">
        <v>275</v>
      </c>
      <c r="H71" s="6" t="s">
        <v>109</v>
      </c>
      <c r="I71" s="6" t="s">
        <v>29</v>
      </c>
      <c r="J71" s="6" t="s">
        <v>30</v>
      </c>
      <c r="K71" s="6" t="s">
        <v>51</v>
      </c>
      <c r="L71" s="6" t="s">
        <v>276</v>
      </c>
      <c r="M71" s="6" t="s">
        <v>80</v>
      </c>
      <c r="N71" s="6" t="s">
        <v>277</v>
      </c>
      <c r="O71" s="6" t="s">
        <v>35</v>
      </c>
      <c r="P71" s="8">
        <v>63</v>
      </c>
      <c r="Q71" s="8">
        <v>323.50255046330136</v>
      </c>
      <c r="R71" s="9">
        <v>45055</v>
      </c>
      <c r="S71" s="9">
        <v>45056</v>
      </c>
      <c r="T71" s="9">
        <v>45180</v>
      </c>
      <c r="U71" s="9">
        <v>45211</v>
      </c>
      <c r="V71" s="9">
        <v>45243</v>
      </c>
      <c r="W71" s="9">
        <v>45274</v>
      </c>
      <c r="X71" s="9">
        <v>45275</v>
      </c>
      <c r="Y71" s="10" t="s">
        <v>278</v>
      </c>
      <c r="Z71" s="20">
        <f t="shared" si="2"/>
        <v>3</v>
      </c>
      <c r="AF71" s="5"/>
    </row>
    <row r="72" spans="1:32" x14ac:dyDescent="0.25">
      <c r="A72" s="6">
        <v>2025</v>
      </c>
      <c r="B72" s="7" t="s">
        <v>24</v>
      </c>
      <c r="C72" s="6">
        <v>1097198</v>
      </c>
      <c r="D72" s="6" t="s">
        <v>25</v>
      </c>
      <c r="E72" s="6" t="s">
        <v>26</v>
      </c>
      <c r="F72" s="16">
        <v>923614</v>
      </c>
      <c r="G72" s="6" t="s">
        <v>27</v>
      </c>
      <c r="H72" s="6" t="s">
        <v>28</v>
      </c>
      <c r="I72" s="6" t="s">
        <v>29</v>
      </c>
      <c r="J72" s="6" t="s">
        <v>30</v>
      </c>
      <c r="K72" s="6" t="s">
        <v>31</v>
      </c>
      <c r="L72" s="6" t="s">
        <v>32</v>
      </c>
      <c r="M72" s="6" t="s">
        <v>33</v>
      </c>
      <c r="N72" s="6" t="s">
        <v>34</v>
      </c>
      <c r="O72" s="6" t="s">
        <v>35</v>
      </c>
      <c r="P72" s="8">
        <v>204</v>
      </c>
      <c r="Q72" s="8">
        <v>89.248419246657249</v>
      </c>
      <c r="R72" s="9">
        <v>45054</v>
      </c>
      <c r="S72" s="9">
        <v>45055</v>
      </c>
      <c r="T72" s="9">
        <v>45179</v>
      </c>
      <c r="U72" s="9">
        <v>45210</v>
      </c>
      <c r="V72" s="9">
        <v>45242</v>
      </c>
      <c r="W72" s="9">
        <v>45273</v>
      </c>
      <c r="X72" s="9">
        <v>45274</v>
      </c>
      <c r="Y72" s="10" t="s">
        <v>36</v>
      </c>
      <c r="Z72" s="20">
        <f t="shared" si="2"/>
        <v>2</v>
      </c>
      <c r="AF72" s="5"/>
    </row>
    <row r="73" spans="1:32" x14ac:dyDescent="0.25">
      <c r="A73" s="6">
        <v>2023</v>
      </c>
      <c r="B73" s="7" t="s">
        <v>94</v>
      </c>
      <c r="C73" s="6">
        <v>1056053</v>
      </c>
      <c r="D73" s="6" t="s">
        <v>95</v>
      </c>
      <c r="E73" s="6" t="s">
        <v>39</v>
      </c>
      <c r="F73" s="16">
        <v>1029185</v>
      </c>
      <c r="G73" s="12" t="s">
        <v>96</v>
      </c>
      <c r="H73" s="6" t="s">
        <v>97</v>
      </c>
      <c r="I73" s="6" t="s">
        <v>29</v>
      </c>
      <c r="J73" s="6" t="s">
        <v>98</v>
      </c>
      <c r="K73" s="6" t="s">
        <v>31</v>
      </c>
      <c r="L73" s="6" t="s">
        <v>99</v>
      </c>
      <c r="M73" s="6" t="s">
        <v>33</v>
      </c>
      <c r="N73" s="6" t="s">
        <v>72</v>
      </c>
      <c r="O73" s="6" t="s">
        <v>35</v>
      </c>
      <c r="P73" s="8">
        <v>39</v>
      </c>
      <c r="Q73" s="8">
        <v>226.8645669565789</v>
      </c>
      <c r="R73" s="9">
        <v>45053</v>
      </c>
      <c r="S73" s="9">
        <v>45115</v>
      </c>
      <c r="T73" s="9">
        <v>45178</v>
      </c>
      <c r="U73" s="9">
        <v>45209</v>
      </c>
      <c r="V73" s="9">
        <v>45241</v>
      </c>
      <c r="W73" s="9">
        <v>45272</v>
      </c>
      <c r="X73" s="9">
        <v>45273</v>
      </c>
      <c r="Y73" s="10" t="s">
        <v>100</v>
      </c>
      <c r="Z73" s="20">
        <f t="shared" si="2"/>
        <v>1</v>
      </c>
      <c r="AF73" s="5"/>
    </row>
    <row r="74" spans="1:32" x14ac:dyDescent="0.3">
      <c r="A74" s="7"/>
      <c r="B74" s="7"/>
      <c r="C74" s="6">
        <f>SUBTOTAL(103,projectdata[Project ID Number])</f>
        <v>72</v>
      </c>
      <c r="D74" s="6">
        <f>SUBTOTAL(103,projectdata[Project Name])</f>
        <v>72</v>
      </c>
      <c r="E74" s="6">
        <f>COUNTIF(E3:E73,"ACTIVE")</f>
        <v>53</v>
      </c>
      <c r="F74" s="16"/>
      <c r="G74" s="7"/>
      <c r="H74" s="6"/>
      <c r="I74" s="6"/>
      <c r="J74" s="6"/>
      <c r="K74" s="6"/>
      <c r="L74" s="6"/>
      <c r="M74" s="6"/>
      <c r="N74" s="6"/>
      <c r="O74" s="6"/>
      <c r="P74" s="8"/>
      <c r="Q74" s="8">
        <f>AVERAGE(projectdata[Working Hours])</f>
        <v>1105.7228033120132</v>
      </c>
      <c r="R74" s="20"/>
      <c r="S74" s="20"/>
      <c r="T74" s="20"/>
      <c r="U74" s="20"/>
      <c r="V74" s="20"/>
      <c r="W74" s="20"/>
      <c r="X74" s="21"/>
      <c r="Y74" s="21"/>
      <c r="Z74" s="6"/>
    </row>
  </sheetData>
  <conditionalFormatting sqref="E1:E73 L74:Q1048576">
    <cfRule type="beginsWith" dxfId="4" priority="4" operator="beginsWith" text="Active">
      <formula>LEFT(E1,LEN("Active"))="Active"</formula>
    </cfRule>
    <cfRule type="beginsWith" dxfId="3" priority="5" operator="beginsWith" text="Not Active">
      <formula>LEFT(E1,LEN("Not Active"))="Not Active"</formula>
    </cfRule>
  </conditionalFormatting>
  <conditionalFormatting sqref="I1:I73 K74:K1048576">
    <cfRule type="containsText" dxfId="2" priority="1" operator="containsText" text="Low">
      <formula>NOT(ISERROR(SEARCH("Low",I1)))</formula>
    </cfRule>
    <cfRule type="containsText" dxfId="1" priority="2" operator="containsText" text="High">
      <formula>NOT(ISERROR(SEARCH("High",I1)))</formula>
    </cfRule>
    <cfRule type="beginsWith" dxfId="0" priority="3" operator="beginsWith" text="Normal">
      <formula>LEFT(I1,LEN("Normal"))="Normal"</formula>
    </cfRule>
  </conditionalFormatting>
  <dataValidations count="2">
    <dataValidation type="list" allowBlank="1" showInputMessage="1" showErrorMessage="1" sqref="B2:B73" xr:uid="{921EE3EB-BE60-4E4E-B087-726722A0CEE7}">
      <formula1>"Jan,Feb,Mar,Apr,May,Jun,Jul,Aug,Sep,Oct,Nov,Dec"</formula1>
    </dataValidation>
    <dataValidation type="list" allowBlank="1" showInputMessage="1" showErrorMessage="1" sqref="E2:E73" xr:uid="{DF2D9AFD-6245-4B4D-B5A8-711A6714968E}">
      <formula1>"Not Active,Active"</formula1>
    </dataValidation>
  </dataValidation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E2A0-4023-4B0E-87E2-9B39303D1157}">
  <sheetPr>
    <pageSetUpPr fitToPage="1"/>
  </sheetPr>
  <dimension ref="Z1:Z30"/>
  <sheetViews>
    <sheetView tabSelected="1" view="pageBreakPreview" zoomScale="60" zoomScaleNormal="89" workbookViewId="0">
      <selection activeCell="Z36" sqref="Z36"/>
    </sheetView>
  </sheetViews>
  <sheetFormatPr defaultRowHeight="14.4" x14ac:dyDescent="0.3"/>
  <sheetData>
    <row r="1" spans="26:26" x14ac:dyDescent="0.3">
      <c r="Z1" t="s">
        <v>354</v>
      </c>
    </row>
    <row r="3" spans="26:26" ht="13.2" customHeight="1" x14ac:dyDescent="0.3"/>
    <row r="30" spans="26:26" ht="19.8" x14ac:dyDescent="0.4">
      <c r="Z30" s="35" t="s">
        <v>353</v>
      </c>
    </row>
  </sheetData>
  <pageMargins left="0.25" right="0.25" top="0.75" bottom="0.75" header="0.3" footer="0.3"/>
  <pageSetup paperSize="9" scale="69"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4379E-07A6-4947-9DF7-0899D906DD92}">
  <dimension ref="A2:B26"/>
  <sheetViews>
    <sheetView workbookViewId="0">
      <selection activeCell="J1" sqref="J1"/>
    </sheetView>
  </sheetViews>
  <sheetFormatPr defaultRowHeight="14.4" x14ac:dyDescent="0.3"/>
  <cols>
    <col min="1" max="1" width="20.5546875" bestFit="1" customWidth="1"/>
    <col min="2" max="2" width="18.21875" bestFit="1" customWidth="1"/>
    <col min="5" max="6" width="22.5546875" bestFit="1" customWidth="1"/>
    <col min="9" max="9" width="12.44140625" bestFit="1" customWidth="1"/>
    <col min="10" max="10" width="18.21875" bestFit="1" customWidth="1"/>
  </cols>
  <sheetData>
    <row r="2" spans="1:2" ht="36" x14ac:dyDescent="0.35">
      <c r="A2" s="19" t="s">
        <v>338</v>
      </c>
    </row>
    <row r="3" spans="1:2" x14ac:dyDescent="0.3">
      <c r="A3" s="17" t="s">
        <v>341</v>
      </c>
      <c r="B3" t="s">
        <v>339</v>
      </c>
    </row>
    <row r="4" spans="1:2" x14ac:dyDescent="0.3">
      <c r="A4" s="18" t="s">
        <v>39</v>
      </c>
      <c r="B4">
        <v>23869259</v>
      </c>
    </row>
    <row r="5" spans="1:2" x14ac:dyDescent="0.3">
      <c r="A5" s="18" t="s">
        <v>26</v>
      </c>
      <c r="B5">
        <v>1266200</v>
      </c>
    </row>
    <row r="6" spans="1:2" x14ac:dyDescent="0.3">
      <c r="A6" s="18" t="s">
        <v>335</v>
      </c>
      <c r="B6">
        <v>25135459</v>
      </c>
    </row>
    <row r="19" spans="1:2" ht="21" x14ac:dyDescent="0.4">
      <c r="A19" s="23" t="s">
        <v>340</v>
      </c>
    </row>
    <row r="20" spans="1:2" x14ac:dyDescent="0.3">
      <c r="A20" s="17" t="s">
        <v>342</v>
      </c>
      <c r="B20" t="s">
        <v>336</v>
      </c>
    </row>
    <row r="21" spans="1:2" x14ac:dyDescent="0.3">
      <c r="A21" s="18" t="s">
        <v>97</v>
      </c>
      <c r="B21" s="22">
        <v>3248781</v>
      </c>
    </row>
    <row r="22" spans="1:2" x14ac:dyDescent="0.3">
      <c r="A22" s="18" t="s">
        <v>109</v>
      </c>
      <c r="B22" s="22">
        <v>4935453</v>
      </c>
    </row>
    <row r="23" spans="1:2" x14ac:dyDescent="0.3">
      <c r="A23" s="18" t="s">
        <v>41</v>
      </c>
      <c r="B23" s="22">
        <v>3723117</v>
      </c>
    </row>
    <row r="24" spans="1:2" x14ac:dyDescent="0.3">
      <c r="A24" s="18" t="s">
        <v>103</v>
      </c>
      <c r="B24" s="22">
        <v>12212894</v>
      </c>
    </row>
    <row r="25" spans="1:2" x14ac:dyDescent="0.3">
      <c r="A25" s="18" t="s">
        <v>50</v>
      </c>
      <c r="B25" s="22">
        <v>3072648</v>
      </c>
    </row>
    <row r="26" spans="1:2" x14ac:dyDescent="0.3">
      <c r="A26" s="18" t="s">
        <v>335</v>
      </c>
      <c r="B26" s="22">
        <v>27192893</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Sheet5</vt:lpstr>
      <vt:lpstr>Sheet4</vt:lpstr>
      <vt:lpstr>Sheet3</vt:lpstr>
      <vt:lpstr>Sheet1</vt:lpstr>
      <vt:lpstr>Dashboard</vt:lpstr>
      <vt:lpstr>Sheet2</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shahistha khan</dc:creator>
  <cp:lastModifiedBy>shahistha khan</cp:lastModifiedBy>
  <cp:lastPrinted>2026-05-01T19:38:20Z</cp:lastPrinted>
  <dcterms:created xsi:type="dcterms:W3CDTF">2026-04-29T11:22:48Z</dcterms:created>
  <dcterms:modified xsi:type="dcterms:W3CDTF">2026-05-01T21:10:16Z</dcterms:modified>
</cp:coreProperties>
</file>